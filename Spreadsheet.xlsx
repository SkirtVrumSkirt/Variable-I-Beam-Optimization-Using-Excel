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awf\Documents\CPCC\Fall 2025\EGR228\final project\spreadsheets\varied\final spreadsheets\"/>
    </mc:Choice>
  </mc:AlternateContent>
  <xr:revisionPtr revIDLastSave="0" documentId="13_ncr:1_{C0B9CBA0-5042-43F4-92C8-0BA9F2F2A9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solver_adj" localSheetId="0" hidden="1">Sheet1!$C$18:$C$21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Sheet1!$C$13</definedName>
    <definedName name="solver_lhs10" localSheetId="0" hidden="1">Sheet1!$L$60</definedName>
    <definedName name="solver_lhs2" localSheetId="0" hidden="1">Sheet1!$C$13</definedName>
    <definedName name="solver_lhs3" localSheetId="0" hidden="1">Sheet1!$C$14</definedName>
    <definedName name="solver_lhs4" localSheetId="0" hidden="1">Sheet1!$C$20</definedName>
    <definedName name="solver_lhs5" localSheetId="0" hidden="1">Sheet1!$C$22</definedName>
    <definedName name="solver_lhs6" localSheetId="0" hidden="1">Sheet1!$L$34</definedName>
    <definedName name="solver_lhs7" localSheetId="0" hidden="1">Sheet1!$L$58</definedName>
    <definedName name="solver_lhs8" localSheetId="0" hidden="1">Sheet1!$L$59</definedName>
    <definedName name="solver_lhs9" localSheetId="0" hidden="1">Sheet1!$L$60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9</definedName>
    <definedName name="solver_nwt" localSheetId="0" hidden="1">1</definedName>
    <definedName name="solver_opt" localSheetId="0" hidden="1">Sheet1!$D$44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1" localSheetId="0" hidden="1">Sheet1!$C$18</definedName>
    <definedName name="solver_rhs10" localSheetId="0" hidden="1">Sheet1!$L$51</definedName>
    <definedName name="solver_rhs2" localSheetId="0" hidden="1">Sheet1!$C$19</definedName>
    <definedName name="solver_rhs3" localSheetId="0" hidden="1">Sheet1!$C$21</definedName>
    <definedName name="solver_rhs4" localSheetId="0" hidden="1">4</definedName>
    <definedName name="solver_rhs5" localSheetId="0" hidden="1">Sheet1!$C$20</definedName>
    <definedName name="solver_rhs6" localSheetId="0" hidden="1">Sheet1!$L$52</definedName>
    <definedName name="solver_rhs7" localSheetId="0" hidden="1">Sheet1!$L$51</definedName>
    <definedName name="solver_rhs8" localSheetId="0" hidden="1">Sheet1!$L$51</definedName>
    <definedName name="solver_rhs9" localSheetId="0" hidden="1">Sheet1!$L$55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1" l="1"/>
  <c r="L55" i="1"/>
  <c r="E110" i="1"/>
  <c r="L35" i="1"/>
  <c r="L20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H406" i="1"/>
  <c r="G406" i="1"/>
  <c r="F406" i="1"/>
  <c r="E406" i="1"/>
  <c r="D406" i="1"/>
  <c r="C406" i="1"/>
  <c r="G268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H376" i="1"/>
  <c r="G376" i="1"/>
  <c r="F376" i="1"/>
  <c r="E376" i="1"/>
  <c r="D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376" i="1"/>
  <c r="H365" i="1"/>
  <c r="H366" i="1"/>
  <c r="H367" i="1"/>
  <c r="H368" i="1"/>
  <c r="H369" i="1"/>
  <c r="H370" i="1"/>
  <c r="H371" i="1"/>
  <c r="H372" i="1"/>
  <c r="H373" i="1"/>
  <c r="H374" i="1"/>
  <c r="H375" i="1"/>
  <c r="G365" i="1"/>
  <c r="G366" i="1"/>
  <c r="G367" i="1"/>
  <c r="G368" i="1"/>
  <c r="G369" i="1"/>
  <c r="G370" i="1"/>
  <c r="G371" i="1"/>
  <c r="G372" i="1"/>
  <c r="G373" i="1"/>
  <c r="G374" i="1"/>
  <c r="G375" i="1"/>
  <c r="F365" i="1"/>
  <c r="F366" i="1"/>
  <c r="F367" i="1"/>
  <c r="F368" i="1"/>
  <c r="F369" i="1"/>
  <c r="F370" i="1"/>
  <c r="F371" i="1"/>
  <c r="F372" i="1"/>
  <c r="F373" i="1"/>
  <c r="F374" i="1"/>
  <c r="F375" i="1"/>
  <c r="E365" i="1"/>
  <c r="E366" i="1"/>
  <c r="E367" i="1"/>
  <c r="E368" i="1"/>
  <c r="E369" i="1"/>
  <c r="E370" i="1"/>
  <c r="E371" i="1"/>
  <c r="E372" i="1"/>
  <c r="E373" i="1"/>
  <c r="E374" i="1"/>
  <c r="E375" i="1"/>
  <c r="H364" i="1"/>
  <c r="G364" i="1"/>
  <c r="F364" i="1"/>
  <c r="E364" i="1"/>
  <c r="D365" i="1"/>
  <c r="D366" i="1"/>
  <c r="D367" i="1"/>
  <c r="D368" i="1"/>
  <c r="D369" i="1"/>
  <c r="D370" i="1"/>
  <c r="D371" i="1"/>
  <c r="D372" i="1"/>
  <c r="D373" i="1"/>
  <c r="D374" i="1"/>
  <c r="D375" i="1"/>
  <c r="D364" i="1"/>
  <c r="C365" i="1"/>
  <c r="C366" i="1"/>
  <c r="C367" i="1"/>
  <c r="C368" i="1"/>
  <c r="C369" i="1"/>
  <c r="C370" i="1"/>
  <c r="C371" i="1"/>
  <c r="C372" i="1"/>
  <c r="C373" i="1"/>
  <c r="C374" i="1"/>
  <c r="C375" i="1"/>
  <c r="C364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268" i="1"/>
  <c r="B174" i="1"/>
  <c r="B144" i="1"/>
  <c r="B114" i="1"/>
  <c r="B84" i="1"/>
  <c r="F116" i="1" l="1"/>
  <c r="H196" i="1"/>
  <c r="H166" i="1"/>
  <c r="H136" i="1"/>
  <c r="H106" i="1"/>
  <c r="F176" i="1"/>
  <c r="F146" i="1"/>
  <c r="F86" i="1"/>
  <c r="F56" i="1"/>
  <c r="B59" i="1" s="1"/>
  <c r="E56" i="1"/>
  <c r="E176" i="1"/>
  <c r="E146" i="1"/>
  <c r="E116" i="1"/>
  <c r="E86" i="1"/>
  <c r="H102" i="1"/>
  <c r="F174" i="1"/>
  <c r="F144" i="1"/>
  <c r="F114" i="1"/>
  <c r="F84" i="1"/>
  <c r="E174" i="1"/>
  <c r="E144" i="1"/>
  <c r="E114" i="1"/>
  <c r="E84" i="1"/>
  <c r="D174" i="1"/>
  <c r="D144" i="1"/>
  <c r="D114" i="1"/>
  <c r="D84" i="1"/>
  <c r="C174" i="1"/>
  <c r="C144" i="1"/>
  <c r="C114" i="1"/>
  <c r="C84" i="1"/>
  <c r="H162" i="1"/>
  <c r="H192" i="1"/>
  <c r="H197" i="1"/>
  <c r="D197" i="1" a="1"/>
  <c r="D197" i="1" s="1"/>
  <c r="D196" i="1" a="1"/>
  <c r="D196" i="1" s="1"/>
  <c r="H195" i="1"/>
  <c r="D195" i="1" a="1"/>
  <c r="D195" i="1" s="1"/>
  <c r="H194" i="1"/>
  <c r="D194" i="1" a="1"/>
  <c r="D194" i="1" s="1"/>
  <c r="H193" i="1"/>
  <c r="D193" i="1" a="1"/>
  <c r="D193" i="1" s="1"/>
  <c r="D192" i="1" a="1"/>
  <c r="D192" i="1" s="1"/>
  <c r="H167" i="1"/>
  <c r="D167" i="1" a="1"/>
  <c r="D167" i="1" s="1"/>
  <c r="D166" i="1" a="1"/>
  <c r="D166" i="1" s="1"/>
  <c r="H165" i="1"/>
  <c r="D165" i="1" a="1"/>
  <c r="D165" i="1" s="1"/>
  <c r="H164" i="1"/>
  <c r="D164" i="1" a="1"/>
  <c r="D164" i="1" s="1"/>
  <c r="H163" i="1"/>
  <c r="D163" i="1" a="1"/>
  <c r="D163" i="1" s="1"/>
  <c r="D162" i="1" a="1"/>
  <c r="D162" i="1" s="1"/>
  <c r="H137" i="1"/>
  <c r="D137" i="1" a="1"/>
  <c r="D137" i="1" s="1"/>
  <c r="D136" i="1" a="1"/>
  <c r="D136" i="1" s="1"/>
  <c r="H135" i="1"/>
  <c r="D135" i="1" a="1"/>
  <c r="D135" i="1" s="1"/>
  <c r="H134" i="1"/>
  <c r="D134" i="1" a="1"/>
  <c r="D134" i="1" s="1"/>
  <c r="H133" i="1"/>
  <c r="D133" i="1" a="1"/>
  <c r="D133" i="1" s="1"/>
  <c r="D132" i="1" a="1"/>
  <c r="D132" i="1" s="1"/>
  <c r="H107" i="1"/>
  <c r="D107" i="1" a="1"/>
  <c r="D107" i="1" s="1"/>
  <c r="D106" i="1" a="1"/>
  <c r="D106" i="1" s="1"/>
  <c r="H105" i="1"/>
  <c r="D105" i="1" a="1"/>
  <c r="D105" i="1" s="1"/>
  <c r="H104" i="1"/>
  <c r="D104" i="1" a="1"/>
  <c r="D104" i="1" s="1"/>
  <c r="H103" i="1"/>
  <c r="D103" i="1" a="1"/>
  <c r="D103" i="1" s="1"/>
  <c r="D102" i="1" a="1"/>
  <c r="D102" i="1" s="1"/>
  <c r="H76" i="1"/>
  <c r="C54" i="1"/>
  <c r="F54" i="1"/>
  <c r="E54" i="1"/>
  <c r="D54" i="1"/>
  <c r="C10" i="1"/>
  <c r="C11" i="1"/>
  <c r="L6" i="1" s="1"/>
  <c r="C6" i="1"/>
  <c r="B60" i="1" l="1"/>
  <c r="H77" i="1"/>
  <c r="H84" i="1"/>
  <c r="H144" i="1"/>
  <c r="H114" i="1"/>
  <c r="H174" i="1"/>
  <c r="H75" i="1"/>
  <c r="H73" i="1"/>
  <c r="H74" i="1"/>
  <c r="E200" i="1"/>
  <c r="F200" i="1" s="1"/>
  <c r="E170" i="1"/>
  <c r="F170" i="1" s="1"/>
  <c r="E140" i="1"/>
  <c r="F140" i="1" s="1"/>
  <c r="F110" i="1"/>
  <c r="H54" i="1"/>
  <c r="L5" i="1"/>
  <c r="L3" i="1" s="1"/>
  <c r="L7" i="1" s="1"/>
  <c r="L19" i="1"/>
  <c r="L8" i="1"/>
  <c r="D200" i="1" l="1"/>
  <c r="D170" i="1"/>
  <c r="L18" i="1"/>
  <c r="D140" i="1"/>
  <c r="D110" i="1"/>
  <c r="L21" i="1"/>
  <c r="L9" i="1"/>
  <c r="L10" i="1" s="1"/>
  <c r="L22" i="1" l="1"/>
  <c r="L14" i="1"/>
  <c r="L11" i="1"/>
  <c r="L23" i="1"/>
  <c r="L36" i="1"/>
  <c r="C22" i="1"/>
  <c r="L53" i="1"/>
  <c r="L50" i="1" s="1"/>
  <c r="C17" i="1"/>
  <c r="L44" i="1"/>
  <c r="L40" i="1"/>
  <c r="L41" i="1"/>
  <c r="C15" i="1"/>
  <c r="L51" i="1" s="1"/>
  <c r="C13" i="1"/>
  <c r="W12" i="1"/>
  <c r="V12" i="1"/>
  <c r="X11" i="1"/>
  <c r="V11" i="1"/>
  <c r="X5" i="1"/>
  <c r="W5" i="1"/>
  <c r="V5" i="1"/>
  <c r="L16" i="1" l="1"/>
  <c r="L12" i="1"/>
  <c r="L24" i="1"/>
  <c r="L47" i="1"/>
  <c r="L37" i="1"/>
  <c r="L42" i="1"/>
  <c r="L48" i="1"/>
  <c r="L39" i="1"/>
  <c r="L13" i="1" l="1"/>
  <c r="L25" i="1"/>
  <c r="L43" i="1"/>
  <c r="L38" i="1"/>
  <c r="D44" i="1" s="1"/>
  <c r="L46" i="1"/>
  <c r="L52" i="1"/>
  <c r="G54" i="1" l="1"/>
  <c r="G174" i="1"/>
  <c r="G144" i="1"/>
  <c r="G114" i="1"/>
  <c r="G84" i="1"/>
  <c r="L54" i="1"/>
  <c r="D74" i="1" l="1" a="1"/>
  <c r="D74" i="1" s="1"/>
  <c r="D77" i="1" a="1"/>
  <c r="D77" i="1" s="1"/>
  <c r="D76" i="1" a="1"/>
  <c r="D76" i="1" s="1"/>
  <c r="D75" i="1" a="1"/>
  <c r="D75" i="1" s="1"/>
  <c r="D73" i="1" a="1"/>
  <c r="D73" i="1" s="1"/>
  <c r="D207" i="1" s="1"/>
  <c r="D72" i="1" a="1"/>
  <c r="D72" i="1" s="1"/>
  <c r="C207" i="1" s="1"/>
  <c r="G219" i="1" l="1"/>
  <c r="G231" i="1"/>
  <c r="G243" i="1"/>
  <c r="G255" i="1"/>
  <c r="G267" i="1"/>
  <c r="G221" i="1"/>
  <c r="G257" i="1"/>
  <c r="G208" i="1"/>
  <c r="G220" i="1"/>
  <c r="G232" i="1"/>
  <c r="G244" i="1"/>
  <c r="G256" i="1"/>
  <c r="G207" i="1"/>
  <c r="G209" i="1"/>
  <c r="G245" i="1"/>
  <c r="G242" i="1"/>
  <c r="G233" i="1"/>
  <c r="G210" i="1"/>
  <c r="G222" i="1"/>
  <c r="G234" i="1"/>
  <c r="G246" i="1"/>
  <c r="G258" i="1"/>
  <c r="G238" i="1"/>
  <c r="G211" i="1"/>
  <c r="G223" i="1"/>
  <c r="G235" i="1"/>
  <c r="G247" i="1"/>
  <c r="G259" i="1"/>
  <c r="G262" i="1"/>
  <c r="G263" i="1"/>
  <c r="G216" i="1"/>
  <c r="G218" i="1"/>
  <c r="G212" i="1"/>
  <c r="G224" i="1"/>
  <c r="G236" i="1"/>
  <c r="G248" i="1"/>
  <c r="G260" i="1"/>
  <c r="G250" i="1"/>
  <c r="G251" i="1"/>
  <c r="G240" i="1"/>
  <c r="G230" i="1"/>
  <c r="G213" i="1"/>
  <c r="G225" i="1"/>
  <c r="G237" i="1"/>
  <c r="G249" i="1"/>
  <c r="G261" i="1"/>
  <c r="G226" i="1"/>
  <c r="G227" i="1"/>
  <c r="G228" i="1"/>
  <c r="G252" i="1"/>
  <c r="G214" i="1"/>
  <c r="G215" i="1"/>
  <c r="G239" i="1"/>
  <c r="G264" i="1"/>
  <c r="G254" i="1"/>
  <c r="G217" i="1"/>
  <c r="G229" i="1"/>
  <c r="G241" i="1"/>
  <c r="G253" i="1"/>
  <c r="G265" i="1"/>
  <c r="G266" i="1"/>
  <c r="H208" i="1"/>
  <c r="H220" i="1"/>
  <c r="H232" i="1"/>
  <c r="H244" i="1"/>
  <c r="H256" i="1"/>
  <c r="H207" i="1"/>
  <c r="H234" i="1"/>
  <c r="H258" i="1"/>
  <c r="H241" i="1"/>
  <c r="H255" i="1"/>
  <c r="H209" i="1"/>
  <c r="H221" i="1"/>
  <c r="H233" i="1"/>
  <c r="H245" i="1"/>
  <c r="H257" i="1"/>
  <c r="H222" i="1"/>
  <c r="H229" i="1"/>
  <c r="H210" i="1"/>
  <c r="H246" i="1"/>
  <c r="H219" i="1"/>
  <c r="H211" i="1"/>
  <c r="H223" i="1"/>
  <c r="H235" i="1"/>
  <c r="H247" i="1"/>
  <c r="H259" i="1"/>
  <c r="H251" i="1"/>
  <c r="H217" i="1"/>
  <c r="H267" i="1"/>
  <c r="H212" i="1"/>
  <c r="H224" i="1"/>
  <c r="H236" i="1"/>
  <c r="H248" i="1"/>
  <c r="H260" i="1"/>
  <c r="H239" i="1"/>
  <c r="H213" i="1"/>
  <c r="H225" i="1"/>
  <c r="H237" i="1"/>
  <c r="H249" i="1"/>
  <c r="H261" i="1"/>
  <c r="H263" i="1"/>
  <c r="H253" i="1"/>
  <c r="H214" i="1"/>
  <c r="H226" i="1"/>
  <c r="H238" i="1"/>
  <c r="H250" i="1"/>
  <c r="H262" i="1"/>
  <c r="H227" i="1"/>
  <c r="H243" i="1"/>
  <c r="H215" i="1"/>
  <c r="H231" i="1"/>
  <c r="H216" i="1"/>
  <c r="H228" i="1"/>
  <c r="H240" i="1"/>
  <c r="H252" i="1"/>
  <c r="H264" i="1"/>
  <c r="H265" i="1"/>
  <c r="H218" i="1"/>
  <c r="H230" i="1"/>
  <c r="H242" i="1"/>
  <c r="H254" i="1"/>
  <c r="H266" i="1"/>
  <c r="E226" i="1"/>
  <c r="E238" i="1"/>
  <c r="E250" i="1"/>
  <c r="E262" i="1"/>
  <c r="E208" i="1"/>
  <c r="E245" i="1"/>
  <c r="E246" i="1"/>
  <c r="E223" i="1"/>
  <c r="E224" i="1"/>
  <c r="E215" i="1"/>
  <c r="E227" i="1"/>
  <c r="E239" i="1"/>
  <c r="E251" i="1"/>
  <c r="E263" i="1"/>
  <c r="E207" i="1"/>
  <c r="E222" i="1"/>
  <c r="E259" i="1"/>
  <c r="E214" i="1"/>
  <c r="E216" i="1"/>
  <c r="E228" i="1"/>
  <c r="E240" i="1"/>
  <c r="E252" i="1"/>
  <c r="E264" i="1"/>
  <c r="E236" i="1"/>
  <c r="E217" i="1"/>
  <c r="E229" i="1"/>
  <c r="E241" i="1"/>
  <c r="E253" i="1"/>
  <c r="E265" i="1"/>
  <c r="E221" i="1"/>
  <c r="E210" i="1"/>
  <c r="E211" i="1"/>
  <c r="E235" i="1"/>
  <c r="E237" i="1"/>
  <c r="E261" i="1"/>
  <c r="E218" i="1"/>
  <c r="E230" i="1"/>
  <c r="E242" i="1"/>
  <c r="E254" i="1"/>
  <c r="E266" i="1"/>
  <c r="E234" i="1"/>
  <c r="E213" i="1"/>
  <c r="E219" i="1"/>
  <c r="E231" i="1"/>
  <c r="E243" i="1"/>
  <c r="E255" i="1"/>
  <c r="E267" i="1"/>
  <c r="E257" i="1"/>
  <c r="E212" i="1"/>
  <c r="E220" i="1"/>
  <c r="E232" i="1"/>
  <c r="E244" i="1"/>
  <c r="E256" i="1"/>
  <c r="E209" i="1"/>
  <c r="E233" i="1"/>
  <c r="E258" i="1"/>
  <c r="E248" i="1"/>
  <c r="E225" i="1"/>
  <c r="E247" i="1"/>
  <c r="E260" i="1"/>
  <c r="E249" i="1"/>
  <c r="F217" i="1"/>
  <c r="F229" i="1"/>
  <c r="F241" i="1"/>
  <c r="F253" i="1"/>
  <c r="F265" i="1"/>
  <c r="F207" i="1"/>
  <c r="F260" i="1"/>
  <c r="F237" i="1"/>
  <c r="F264" i="1"/>
  <c r="F218" i="1"/>
  <c r="F230" i="1"/>
  <c r="F242" i="1"/>
  <c r="F254" i="1"/>
  <c r="F266" i="1"/>
  <c r="F236" i="1"/>
  <c r="F250" i="1"/>
  <c r="F228" i="1"/>
  <c r="F219" i="1"/>
  <c r="F231" i="1"/>
  <c r="F243" i="1"/>
  <c r="F255" i="1"/>
  <c r="F267" i="1"/>
  <c r="F248" i="1"/>
  <c r="F208" i="1"/>
  <c r="F226" i="1"/>
  <c r="F211" i="1"/>
  <c r="F220" i="1"/>
  <c r="F232" i="1"/>
  <c r="F244" i="1"/>
  <c r="F256" i="1"/>
  <c r="F212" i="1"/>
  <c r="F249" i="1"/>
  <c r="F210" i="1"/>
  <c r="F221" i="1"/>
  <c r="F233" i="1"/>
  <c r="F245" i="1"/>
  <c r="F257" i="1"/>
  <c r="F213" i="1"/>
  <c r="F216" i="1"/>
  <c r="F209" i="1"/>
  <c r="F252" i="1"/>
  <c r="F222" i="1"/>
  <c r="F234" i="1"/>
  <c r="F246" i="1"/>
  <c r="F258" i="1"/>
  <c r="F214" i="1"/>
  <c r="F261" i="1"/>
  <c r="F262" i="1"/>
  <c r="F240" i="1"/>
  <c r="F223" i="1"/>
  <c r="F235" i="1"/>
  <c r="F247" i="1"/>
  <c r="F259" i="1"/>
  <c r="F215" i="1"/>
  <c r="F224" i="1"/>
  <c r="F225" i="1"/>
  <c r="F238" i="1"/>
  <c r="F227" i="1"/>
  <c r="F239" i="1"/>
  <c r="F251" i="1"/>
  <c r="F263" i="1"/>
  <c r="C219" i="1"/>
  <c r="C231" i="1"/>
  <c r="C243" i="1"/>
  <c r="C255" i="1"/>
  <c r="C267" i="1"/>
  <c r="C221" i="1"/>
  <c r="C245" i="1"/>
  <c r="C222" i="1"/>
  <c r="C246" i="1"/>
  <c r="C253" i="1"/>
  <c r="C208" i="1"/>
  <c r="C220" i="1"/>
  <c r="C232" i="1"/>
  <c r="C244" i="1"/>
  <c r="C256" i="1"/>
  <c r="C209" i="1"/>
  <c r="C233" i="1"/>
  <c r="C257" i="1"/>
  <c r="C210" i="1"/>
  <c r="C234" i="1"/>
  <c r="C258" i="1"/>
  <c r="C252" i="1"/>
  <c r="C266" i="1"/>
  <c r="C218" i="1"/>
  <c r="C211" i="1"/>
  <c r="C223" i="1"/>
  <c r="C235" i="1"/>
  <c r="C247" i="1"/>
  <c r="C259" i="1"/>
  <c r="C237" i="1"/>
  <c r="C238" i="1"/>
  <c r="C227" i="1"/>
  <c r="C263" i="1"/>
  <c r="C228" i="1"/>
  <c r="C241" i="1"/>
  <c r="C230" i="1"/>
  <c r="C212" i="1"/>
  <c r="C224" i="1"/>
  <c r="C236" i="1"/>
  <c r="C248" i="1"/>
  <c r="C260" i="1"/>
  <c r="C225" i="1"/>
  <c r="C226" i="1"/>
  <c r="C262" i="1"/>
  <c r="C239" i="1"/>
  <c r="C216" i="1"/>
  <c r="C213" i="1"/>
  <c r="C249" i="1"/>
  <c r="C261" i="1"/>
  <c r="C215" i="1"/>
  <c r="C240" i="1"/>
  <c r="C214" i="1"/>
  <c r="C250" i="1"/>
  <c r="C251" i="1"/>
  <c r="C264" i="1"/>
  <c r="C229" i="1"/>
  <c r="C254" i="1"/>
  <c r="C217" i="1"/>
  <c r="C265" i="1"/>
  <c r="C242" i="1"/>
  <c r="D208" i="1"/>
  <c r="D220" i="1"/>
  <c r="D232" i="1"/>
  <c r="D244" i="1"/>
  <c r="D256" i="1"/>
  <c r="D234" i="1"/>
  <c r="D258" i="1"/>
  <c r="D235" i="1"/>
  <c r="D259" i="1"/>
  <c r="D267" i="1"/>
  <c r="D209" i="1"/>
  <c r="D221" i="1"/>
  <c r="D233" i="1"/>
  <c r="D245" i="1"/>
  <c r="D257" i="1"/>
  <c r="D222" i="1"/>
  <c r="D246" i="1"/>
  <c r="D223" i="1"/>
  <c r="D247" i="1"/>
  <c r="D255" i="1"/>
  <c r="D210" i="1"/>
  <c r="D211" i="1"/>
  <c r="D212" i="1"/>
  <c r="D224" i="1"/>
  <c r="D236" i="1"/>
  <c r="D248" i="1"/>
  <c r="D260" i="1"/>
  <c r="D263" i="1"/>
  <c r="D252" i="1"/>
  <c r="D253" i="1"/>
  <c r="D213" i="1"/>
  <c r="D225" i="1"/>
  <c r="D237" i="1"/>
  <c r="D249" i="1"/>
  <c r="D261" i="1"/>
  <c r="D228" i="1"/>
  <c r="D264" i="1"/>
  <c r="D229" i="1"/>
  <c r="D243" i="1"/>
  <c r="D214" i="1"/>
  <c r="D226" i="1"/>
  <c r="D238" i="1"/>
  <c r="D250" i="1"/>
  <c r="D262" i="1"/>
  <c r="D240" i="1"/>
  <c r="D241" i="1"/>
  <c r="D219" i="1"/>
  <c r="D215" i="1"/>
  <c r="D227" i="1"/>
  <c r="D239" i="1"/>
  <c r="D251" i="1"/>
  <c r="D265" i="1"/>
  <c r="D231" i="1"/>
  <c r="D216" i="1"/>
  <c r="D217" i="1"/>
  <c r="D218" i="1"/>
  <c r="D230" i="1"/>
  <c r="D242" i="1"/>
  <c r="D254" i="1"/>
  <c r="D266" i="1"/>
  <c r="D80" i="1" l="1"/>
  <c r="D50" i="1"/>
  <c r="D51" i="1"/>
  <c r="D52" i="1" s="1"/>
  <c r="F80" i="1"/>
  <c r="L26" i="1" l="1"/>
  <c r="L29" i="1"/>
  <c r="L15" i="1"/>
  <c r="L17" i="1"/>
  <c r="L27" i="1"/>
  <c r="L28" i="1"/>
  <c r="L33" i="1" l="1" a="1"/>
  <c r="L33" i="1" s="1"/>
  <c r="L45" i="1" s="1"/>
  <c r="L32" i="1" a="1"/>
  <c r="L32" i="1" s="1"/>
  <c r="L49" i="1" s="1"/>
  <c r="L34" i="1" l="1"/>
  <c r="D42" i="1" s="1"/>
  <c r="L59" i="1"/>
  <c r="L58" i="1"/>
  <c r="D41" i="1" s="1"/>
  <c r="L60" i="1"/>
  <c r="D4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<sst xmlns="http://schemas.openxmlformats.org/spreadsheetml/2006/main" count="639" uniqueCount="408">
  <si>
    <t>Initialized Variables</t>
  </si>
  <si>
    <t>Value</t>
  </si>
  <si>
    <t>Unit</t>
  </si>
  <si>
    <t>Greek Letters</t>
  </si>
  <si>
    <t>Alpha</t>
  </si>
  <si>
    <t>Beta</t>
  </si>
  <si>
    <t>Gamma</t>
  </si>
  <si>
    <t>Delta</t>
  </si>
  <si>
    <t>Epsilon</t>
  </si>
  <si>
    <t>Zeta</t>
  </si>
  <si>
    <t>Eta</t>
  </si>
  <si>
    <t>Theta</t>
  </si>
  <si>
    <t>Iota</t>
  </si>
  <si>
    <t>Kappa</t>
  </si>
  <si>
    <t>Lamda</t>
  </si>
  <si>
    <t>Mu</t>
  </si>
  <si>
    <t>Nu</t>
  </si>
  <si>
    <t>Xi</t>
  </si>
  <si>
    <t>Omicron</t>
  </si>
  <si>
    <t>Pi</t>
  </si>
  <si>
    <t>Rho</t>
  </si>
  <si>
    <t>Sigma</t>
  </si>
  <si>
    <t>Tau</t>
  </si>
  <si>
    <t>Upsilon</t>
  </si>
  <si>
    <t>Phi</t>
  </si>
  <si>
    <t>Chi</t>
  </si>
  <si>
    <t>Psi</t>
  </si>
  <si>
    <t>Omega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</si>
  <si>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</si>
  <si>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</si>
  <si>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</si>
  <si>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</si>
  <si>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</si>
  <si>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</si>
  <si>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</si>
  <si>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</si>
  <si>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</si>
  <si>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</si>
  <si>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</si>
  <si>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</si>
  <si>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</si>
  <si>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</si>
  <si>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</si>
  <si>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</si>
  <si>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</si>
  <si>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</si>
  <si>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</si>
  <si>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</si>
  <si>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</si>
  <si>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</si>
  <si>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</si>
  <si>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</si>
  <si>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</si>
  <si>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</si>
  <si>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</si>
  <si>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</si>
  <si>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</si>
  <si>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</si>
  <si>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</si>
  <si>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</si>
  <si>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</si>
  <si>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</si>
  <si>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</si>
  <si>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</si>
  <si>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</si>
  <si>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</si>
  <si>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</si>
  <si>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</si>
  <si>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</si>
  <si>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</si>
  <si>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</si>
  <si>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</si>
  <si>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</si>
  <si>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</si>
  <si>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</si>
  <si>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</si>
  <si>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diameter</t>
  </si>
  <si>
    <t>deformation</t>
  </si>
  <si>
    <t>coefficient of thermal expansion</t>
  </si>
  <si>
    <t>change</t>
  </si>
  <si>
    <t>A</t>
  </si>
  <si>
    <t>E</t>
  </si>
  <si>
    <t>L</t>
  </si>
  <si>
    <t>Formula</t>
  </si>
  <si>
    <t>P</t>
  </si>
  <si>
    <t>T</t>
  </si>
  <si>
    <t>sum</t>
  </si>
  <si>
    <t>F</t>
  </si>
  <si>
    <t>t</t>
  </si>
  <si>
    <t>lowercase</t>
  </si>
  <si>
    <t>UPPERCASE</t>
  </si>
  <si>
    <t>F.S.</t>
  </si>
  <si>
    <t>English Letters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</si>
  <si>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</si>
  <si>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</si>
  <si>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</si>
  <si>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</si>
  <si>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</si>
  <si>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</si>
  <si>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</si>
  <si>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</si>
  <si>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</si>
  <si>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</si>
  <si>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</si>
  <si>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</si>
  <si>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</si>
  <si>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</si>
  <si>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</si>
  <si>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</si>
  <si>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</si>
  <si>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</si>
  <si>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</si>
  <si>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</si>
  <si>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</si>
  <si>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w</t>
  </si>
  <si>
    <t>x</t>
  </si>
  <si>
    <t>y</t>
  </si>
  <si>
    <t>z</t>
  </si>
  <si>
    <t>B</t>
  </si>
  <si>
    <t>C</t>
  </si>
  <si>
    <t>D</t>
  </si>
  <si>
    <t>G</t>
  </si>
  <si>
    <t>H</t>
  </si>
  <si>
    <t>I</t>
  </si>
  <si>
    <t>J</t>
  </si>
  <si>
    <t>K</t>
  </si>
  <si>
    <t>M</t>
  </si>
  <si>
    <t>N</t>
  </si>
  <si>
    <t>O</t>
  </si>
  <si>
    <t>Q</t>
  </si>
  <si>
    <t>R</t>
  </si>
  <si>
    <t>S</t>
  </si>
  <si>
    <t>U</t>
  </si>
  <si>
    <t>V</t>
  </si>
  <si>
    <t>W</t>
  </si>
  <si>
    <t>X</t>
  </si>
  <si>
    <t>Y</t>
  </si>
  <si>
    <t>Z</t>
  </si>
  <si>
    <t>centric load</t>
  </si>
  <si>
    <t>force</t>
  </si>
  <si>
    <t>Other symbols</t>
  </si>
  <si>
    <t>%</t>
  </si>
  <si>
    <t>percent</t>
  </si>
  <si>
    <t>Poisson's ratio</t>
  </si>
  <si>
    <t>shearing strain</t>
  </si>
  <si>
    <t>angle</t>
  </si>
  <si>
    <t>°</t>
  </si>
  <si>
    <t>degrees</t>
  </si>
  <si>
    <t>∫</t>
  </si>
  <si>
    <t>integral</t>
  </si>
  <si>
    <t>torque</t>
  </si>
  <si>
    <t>polar moment of inertia</t>
  </si>
  <si>
    <t>angular velocity</t>
  </si>
  <si>
    <t>Conversion Factors</t>
  </si>
  <si>
    <t>RPM</t>
  </si>
  <si>
    <t>s^(-1)</t>
  </si>
  <si>
    <t>Hz</t>
  </si>
  <si>
    <t>Horsepower (hp)</t>
  </si>
  <si>
    <t>ft * lb / s</t>
  </si>
  <si>
    <t>in * lb / s</t>
  </si>
  <si>
    <t>±</t>
  </si>
  <si>
    <t>plus minus</t>
  </si>
  <si>
    <t>Calculation</t>
  </si>
  <si>
    <t>L_beam</t>
  </si>
  <si>
    <t>w_4</t>
  </si>
  <si>
    <t>w_5</t>
  </si>
  <si>
    <t>lb</t>
  </si>
  <si>
    <t>(k_4) * (x ^ 5)</t>
  </si>
  <si>
    <t>(k_5) * x</t>
  </si>
  <si>
    <t>Variable</t>
  </si>
  <si>
    <t>Formula Used</t>
  </si>
  <si>
    <t>t_min</t>
  </si>
  <si>
    <t>in</t>
  </si>
  <si>
    <t>w_min</t>
  </si>
  <si>
    <t>psi</t>
  </si>
  <si>
    <t>σ_y</t>
  </si>
  <si>
    <t>t_w</t>
  </si>
  <si>
    <t>t_f</t>
  </si>
  <si>
    <t xml:space="preserve">d_w = </t>
  </si>
  <si>
    <t xml:space="preserve">A_f = </t>
  </si>
  <si>
    <t>A_f = b * t_f</t>
  </si>
  <si>
    <t xml:space="preserve">A_w = </t>
  </si>
  <si>
    <t>in^2</t>
  </si>
  <si>
    <t>A_total = 2 * A_f + A_w</t>
  </si>
  <si>
    <t xml:space="preserve">A_total = </t>
  </si>
  <si>
    <t>I_w = (t_w * (d_w ^ 3)) / 12</t>
  </si>
  <si>
    <t xml:space="preserve">I_w = </t>
  </si>
  <si>
    <t>in^4</t>
  </si>
  <si>
    <t xml:space="preserve">I_f,local = </t>
  </si>
  <si>
    <t>I_f,local = (b * (t_f ^ 3)) / 12</t>
  </si>
  <si>
    <t>y_f = (d_w + t_f) / 2</t>
  </si>
  <si>
    <t xml:space="preserve">y_f = </t>
  </si>
  <si>
    <t>I_f = I_f,local + (A_f * (y_f ^ 2))</t>
  </si>
  <si>
    <t xml:space="preserve">I_f = </t>
  </si>
  <si>
    <t xml:space="preserve">I = </t>
  </si>
  <si>
    <t>c = h / 2</t>
  </si>
  <si>
    <t xml:space="preserve">c = </t>
  </si>
  <si>
    <t>Q = (A_f * y_f + A_thw * y_w)</t>
  </si>
  <si>
    <t xml:space="preserve">A_thw = </t>
  </si>
  <si>
    <t>y_w = d_w / 4</t>
  </si>
  <si>
    <t xml:space="preserve">y_w = </t>
  </si>
  <si>
    <t xml:space="preserve">Q = </t>
  </si>
  <si>
    <t>in^3</t>
  </si>
  <si>
    <t xml:space="preserve">τ_max = </t>
  </si>
  <si>
    <t>lb * in</t>
  </si>
  <si>
    <t xml:space="preserve">σ_all = </t>
  </si>
  <si>
    <t>σ_all = σ_y / F.S.</t>
  </si>
  <si>
    <t xml:space="preserve">V_max_buckle = </t>
  </si>
  <si>
    <t>lbs</t>
  </si>
  <si>
    <t>TESTS</t>
  </si>
  <si>
    <t>Allowable shear stress exceeded?</t>
  </si>
  <si>
    <t>Allowable normal stress exceeded?</t>
  </si>
  <si>
    <t>Allowable buckling load exceeded?</t>
  </si>
  <si>
    <t>FORMULA</t>
  </si>
  <si>
    <t>PASS/FAIL</t>
  </si>
  <si>
    <t>Area</t>
  </si>
  <si>
    <t xml:space="preserve">F_all = </t>
  </si>
  <si>
    <t>F_all = F_max_buckle / F.S.</t>
  </si>
  <si>
    <t>I_x = (L_beam * (t_w ^ 3)) / 12</t>
  </si>
  <si>
    <t xml:space="preserve">I_x = </t>
  </si>
  <si>
    <t>TEST NAME</t>
  </si>
  <si>
    <t>PASS/FAIL TYPE</t>
  </si>
  <si>
    <t>AREA (in^2)</t>
  </si>
  <si>
    <t xml:space="preserve">V_max_abs = </t>
  </si>
  <si>
    <t>V_max_abs = ABS(V_max)</t>
  </si>
  <si>
    <t>σ_x = (M_max * c) / I</t>
  </si>
  <si>
    <t xml:space="preserve">σ_x = </t>
  </si>
  <si>
    <t>τ_xy = (V_max * Q) / (I * t_w)</t>
  </si>
  <si>
    <t xml:space="preserve">τ_xy = </t>
  </si>
  <si>
    <t>τ_max = ((σ_x / 2) ^ 2 + (τ_xy ^ 2)) ^ 0.5</t>
  </si>
  <si>
    <t>2 * t_f</t>
  </si>
  <si>
    <t>MEASUREMENTS (t_w, t_f, h, b) (in)</t>
  </si>
  <si>
    <t>S = I/c</t>
  </si>
  <si>
    <t xml:space="preserve">S = </t>
  </si>
  <si>
    <t>C21 * C19</t>
  </si>
  <si>
    <t>(C21 * (C19 ^ 3)) / 12</t>
  </si>
  <si>
    <t>C20 / 2</t>
  </si>
  <si>
    <t>C15 / C12</t>
  </si>
  <si>
    <t>(C3 * (C18 ^ 3)) / 12</t>
  </si>
  <si>
    <t>A_w = d_w * t_w</t>
  </si>
  <si>
    <t>(pin-pin)</t>
  </si>
  <si>
    <t>A_total = (2 * A_f) + A_w</t>
  </si>
  <si>
    <t>I = I_w + (2 * I_f)</t>
  </si>
  <si>
    <t>A_thw = (t_w * d_w) / 2</t>
  </si>
  <si>
    <t>F_max_buckle = ((π ^ 2) * E * I_x) / ((d_w * k) ^ 2)</t>
  </si>
  <si>
    <t>IF(L52&gt;L43,"FAIL","PASS")</t>
  </si>
  <si>
    <t>IF(L50&gt;L43,"FAIL","PASS")</t>
  </si>
  <si>
    <t>IF(L26&gt;L44,"FAIL","PASS")</t>
  </si>
  <si>
    <t>t_g</t>
  </si>
  <si>
    <t>S (in^3)</t>
  </si>
  <si>
    <t>Form</t>
  </si>
  <si>
    <t>R^2</t>
  </si>
  <si>
    <t xml:space="preserve">t_w(x) = </t>
  </si>
  <si>
    <t xml:space="preserve">t_f(x) = </t>
  </si>
  <si>
    <t xml:space="preserve">b(x) = </t>
  </si>
  <si>
    <t>Average area (in^2)</t>
  </si>
  <si>
    <t>Volume (in^3)</t>
  </si>
  <si>
    <t xml:space="preserve">h(x) = </t>
  </si>
  <si>
    <t xml:space="preserve">S(x) = </t>
  </si>
  <si>
    <t>ax^3 + bx^2 + cx + d</t>
  </si>
  <si>
    <t>ρ_steel</t>
  </si>
  <si>
    <t>lb/in^3</t>
  </si>
  <si>
    <t>Weight (lb)</t>
  </si>
  <si>
    <t>d_w = h - (2 * t_f)</t>
  </si>
  <si>
    <t>C20 - (2 * C19)</t>
  </si>
  <si>
    <t xml:space="preserve">M_x = </t>
  </si>
  <si>
    <t xml:space="preserve">V_x = </t>
  </si>
  <si>
    <t>V_x = IFS(C24&lt;C4,L16,C24&lt;(C4+C5),L17,C24&lt;(C4+C5+C6),L18,C24&lt;=C3,L19)</t>
  </si>
  <si>
    <t>M_x = IFS(C24&lt;C4,L20,C24&lt;(C4+C5),L21,C24&lt;(C4+C5+C6),L22,C24&lt;=C3,L23)</t>
  </si>
  <si>
    <t xml:space="preserve">b_5 = </t>
  </si>
  <si>
    <t>b_4 = (-w_4 * (e + f + g))</t>
  </si>
  <si>
    <t xml:space="preserve">b_4 = </t>
  </si>
  <si>
    <t>F_5</t>
  </si>
  <si>
    <t xml:space="preserve">F_5 = </t>
  </si>
  <si>
    <t>lb/in^2</t>
  </si>
  <si>
    <t>k_5</t>
  </si>
  <si>
    <t>k_4</t>
  </si>
  <si>
    <t>w_5i</t>
  </si>
  <si>
    <t>w_4g</t>
  </si>
  <si>
    <t xml:space="preserve">k_5 = </t>
  </si>
  <si>
    <t>b_5 = (-k_5 * g)</t>
  </si>
  <si>
    <t>lb/in</t>
  </si>
  <si>
    <t xml:space="preserve">k_4 = </t>
  </si>
  <si>
    <t>lb/in^6</t>
  </si>
  <si>
    <t xml:space="preserve">F_1 = </t>
  </si>
  <si>
    <t>F_1 = -(F_5 + F_6)</t>
  </si>
  <si>
    <t xml:space="preserve">V_g = </t>
  </si>
  <si>
    <t xml:space="preserve">V_f = </t>
  </si>
  <si>
    <t xml:space="preserve">V_h = </t>
  </si>
  <si>
    <t>V_L = V_h + F_4</t>
  </si>
  <si>
    <t>F_4</t>
  </si>
  <si>
    <t xml:space="preserve">F_4 = </t>
  </si>
  <si>
    <t xml:space="preserve">V_L = </t>
  </si>
  <si>
    <t>V_j = F_1</t>
  </si>
  <si>
    <t xml:space="preserve">V_j = </t>
  </si>
  <si>
    <t>V_h = V_i + F_5</t>
  </si>
  <si>
    <t xml:space="preserve">V_i = </t>
  </si>
  <si>
    <t>V_i = V_j + F_5</t>
  </si>
  <si>
    <t>V_g = V_j</t>
  </si>
  <si>
    <t xml:space="preserve">V_e = </t>
  </si>
  <si>
    <t>V_e = V_i</t>
  </si>
  <si>
    <t xml:space="preserve">V_d = </t>
  </si>
  <si>
    <t>V_f = V_j + ((x * b_5) + (1 / 2) * x * k_5 * (x + (2 * g)))</t>
  </si>
  <si>
    <t>V_d = V_h + (1 / 6) * k_4 * (f + g + e - x) ^ 6</t>
  </si>
  <si>
    <t xml:space="preserve">M_i = </t>
  </si>
  <si>
    <t>lb*in</t>
  </si>
  <si>
    <t>lb*in (CW)</t>
  </si>
  <si>
    <t xml:space="preserve">M_5 = </t>
  </si>
  <si>
    <t xml:space="preserve">M_4 = </t>
  </si>
  <si>
    <t>M_1 = -(M_5 + M_4)</t>
  </si>
  <si>
    <t xml:space="preserve">M_1 = </t>
  </si>
  <si>
    <t>M_k = M_1</t>
  </si>
  <si>
    <t xml:space="preserve">M_k = </t>
  </si>
  <si>
    <t>lb*in (CCW)</t>
  </si>
  <si>
    <t>M_j = M_k - (V_j * g)</t>
  </si>
  <si>
    <t xml:space="preserve">M_j = </t>
  </si>
  <si>
    <t>M_h = M_i - (V_h * e)</t>
  </si>
  <si>
    <t xml:space="preserve">M_h = </t>
  </si>
  <si>
    <t xml:space="preserve">M_L =  </t>
  </si>
  <si>
    <t xml:space="preserve">M_L = </t>
  </si>
  <si>
    <t>M_g = M_k - (V_j * x)</t>
  </si>
  <si>
    <t xml:space="preserve">M_g = </t>
  </si>
  <si>
    <t xml:space="preserve">M_f = </t>
  </si>
  <si>
    <t>M_e = M_i - (V_i * (x-(f+g))</t>
  </si>
  <si>
    <t xml:space="preserve">M_e = </t>
  </si>
  <si>
    <t xml:space="preserve">M_d = M_h - </t>
  </si>
  <si>
    <t xml:space="preserve">M_d = </t>
  </si>
  <si>
    <t xml:space="preserve">A(x) = </t>
  </si>
  <si>
    <t>Section 1 (x) (in)</t>
  </si>
  <si>
    <t>t_w (in)</t>
  </si>
  <si>
    <t>t_f (in)</t>
  </si>
  <si>
    <t>h (in)</t>
  </si>
  <si>
    <t>b (in)</t>
  </si>
  <si>
    <t>A (in²)</t>
  </si>
  <si>
    <t>S (in³)</t>
  </si>
  <si>
    <t>x =</t>
  </si>
  <si>
    <t>Volume (in³)</t>
  </si>
  <si>
    <t>Average Area (in²)</t>
  </si>
  <si>
    <t>Section #</t>
  </si>
  <si>
    <t>Section Length (in)</t>
  </si>
  <si>
    <t>Section Start (in)</t>
  </si>
  <si>
    <t>Section End (in)</t>
  </si>
  <si>
    <t>Step (in)</t>
  </si>
  <si>
    <t>Approximate Size Chart</t>
  </si>
  <si>
    <t>Section</t>
  </si>
  <si>
    <t>Section 2 (x) (in)</t>
  </si>
  <si>
    <t>Section 3 (x) (in)</t>
  </si>
  <si>
    <t>Section 4 (x) (in)</t>
  </si>
  <si>
    <t>Section 5 (x) (in)</t>
  </si>
  <si>
    <t>x (in)</t>
  </si>
  <si>
    <t>(-L5*C7)</t>
  </si>
  <si>
    <t>C10/C6</t>
  </si>
  <si>
    <t>C11 / (C4 ^ 5)</t>
  </si>
  <si>
    <t>(L3 * C6) + (1 / 2) * (C6 * L5) * (C6 + (2 * C7))</t>
  </si>
  <si>
    <t>(1 / 6) * (L6) * (C5 + C6 + C7 - C3) ^ 6</t>
  </si>
  <si>
    <t>(-(L7+L8))</t>
  </si>
  <si>
    <t>L9</t>
  </si>
  <si>
    <t>L10 + L7</t>
  </si>
  <si>
    <t>L12 + L8</t>
  </si>
  <si>
    <t>L11</t>
  </si>
  <si>
    <t>L10</t>
  </si>
  <si>
    <t>L10+(1/2)*(C24-C7)*(L5*(C24+C7)+(2*L3))</t>
  </si>
  <si>
    <t>L12+(1/6)*(L6)*(C5+C6+C7-C24)^6</t>
  </si>
  <si>
    <t>(1/6)*(C6^2)*(L5)*((2*C6)+(3*C7))</t>
  </si>
  <si>
    <t>(1/42)*(L6)*((C6+C7-C3+C5)^6)*(C5+C6+C7+6*C3)</t>
  </si>
  <si>
    <t>(-(L18+L19))</t>
  </si>
  <si>
    <t>L20</t>
  </si>
  <si>
    <t>L21 - (L10 * C7)</t>
  </si>
  <si>
    <t>L22 - (1/6)*(C6)*(3*L3*C6+C6*L5*(C6+3*C7)+6*L10)</t>
  </si>
  <si>
    <t>L23 - (L12 * C5)</t>
  </si>
  <si>
    <t>L24-(-L12*(C5+C6+C7-C3)-(1/42)*(L6)*(C5+C6+C7-C3)^7)</t>
  </si>
  <si>
    <t>L21 - (L10*C24)</t>
  </si>
  <si>
    <t>L22 - (1/6)*(C24-C7)*(3*L3*(C24-C7)+(C24-C7)*L5*((C24-C7)+3*C7)+6*L10)</t>
  </si>
  <si>
    <t>L23-(L11*(C24-(C6+C7)))</t>
  </si>
  <si>
    <t>L24-(-L12*(C5+C6+C7-C24)-(1/42)*(L6)*(C5+C6+C7-C24)^7)</t>
  </si>
  <si>
    <t>IFS(C24&lt;=C7,L14,C24&lt;=(C6+C7),L15,C24&lt;=(C5+C6+C7),L16,C24&lt;=C3,L17)</t>
  </si>
  <si>
    <t>IFS(C24&lt;=C7,L26,C24&lt;=(C6+C7),L27,C24&lt;=(C5+C6+C7),L28,C24&lt;=C3,L29)</t>
  </si>
  <si>
    <t>ABS(L32)</t>
  </si>
  <si>
    <t>L35 * C18</t>
  </si>
  <si>
    <t>(2 * L36) + (L37)</t>
  </si>
  <si>
    <t>(C18 * (L35 ^ 3)) / 12</t>
  </si>
  <si>
    <t>(L35 + C19) / 2</t>
  </si>
  <si>
    <t>L40 + (L36 * (L41 ^2))</t>
  </si>
  <si>
    <t>L39 + (2 * L42)</t>
  </si>
  <si>
    <t>(-L33 * L44) / L43</t>
  </si>
  <si>
    <t>(L36 * L41) + (L47 * L48)</t>
  </si>
  <si>
    <t>(C18 * L35) / 2</t>
  </si>
  <si>
    <t>L35 / 4</t>
  </si>
  <si>
    <t>(-L32 * L46) / (L43 * C18)</t>
  </si>
  <si>
    <t>((PI() ^ 2) * C17 * L53) / ((L3 * C16) ^ 2)</t>
  </si>
  <si>
    <t>L50 / C12</t>
  </si>
  <si>
    <t>L43/L44</t>
  </si>
  <si>
    <t>ABS((L45 / 2) + ((L45 / 2) ^ 2 + (L49 ^ 2)) ^ 0.5)</t>
  </si>
  <si>
    <t>ABS((L45 / 2) - ((L45 / 2) ^ 2 + (L49 ^ 2)) ^ 0.5)</t>
  </si>
  <si>
    <t>ABS(((L45/2)^2+(L49^2))^0.5)</t>
  </si>
  <si>
    <t>Section 1</t>
  </si>
  <si>
    <t>Section 2</t>
  </si>
  <si>
    <t>Section 3</t>
  </si>
  <si>
    <t>Section 4</t>
  </si>
  <si>
    <t>Section 5</t>
  </si>
  <si>
    <t xml:space="preserve">σ_2 = </t>
  </si>
  <si>
    <t xml:space="preserve">σ_1 = </t>
  </si>
  <si>
    <t>σ_1 = (σ_x / 2) + ((σ_x / 2) ^ 2 + (τ_xy ^ 2)) ^ 0.5</t>
  </si>
  <si>
    <t>σ_2 = (σ_x / 2) - ((σ_x / 2) ^ 2 + (τ_xy ^ 2)) ^ 0.5</t>
  </si>
  <si>
    <t>τ_all = τ_y / F.S.</t>
  </si>
  <si>
    <t xml:space="preserve">τ_all = </t>
  </si>
  <si>
    <t>τ_y</t>
  </si>
  <si>
    <t>C26/C12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</si>
</sst>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#,##0.000000"/>
    <numFmt numFmtId="166" formatCode="#,##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5" borderId="11" xfId="0" applyFont="1" applyFill="1" applyBorder="1"/>
    <xf numFmtId="0" fontId="1" fillId="5" borderId="12" xfId="0" applyFont="1" applyFill="1" applyBorder="1"/>
    <xf numFmtId="0" fontId="1" fillId="0" borderId="0" xfId="0" applyFont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1" fillId="0" borderId="0" xfId="0" applyFont="1" applyAlignment="1">
      <alignment horizontal="center"/>
    </xf>
    <xf numFmtId="0" fontId="1" fillId="10" borderId="2" xfId="0" applyFont="1" applyFill="1" applyBorder="1"/>
    <xf numFmtId="0" fontId="1" fillId="10" borderId="12" xfId="0" applyFont="1" applyFill="1" applyBorder="1"/>
    <xf numFmtId="0" fontId="1" fillId="10" borderId="3" xfId="0" applyFont="1" applyFill="1" applyBorder="1" applyAlignment="1">
      <alignment horizontal="center"/>
    </xf>
    <xf numFmtId="0" fontId="1" fillId="10" borderId="11" xfId="0" applyFont="1" applyFill="1" applyBorder="1"/>
    <xf numFmtId="0" fontId="1" fillId="10" borderId="13" xfId="0" applyFont="1" applyFill="1" applyBorder="1"/>
    <xf numFmtId="0" fontId="1" fillId="10" borderId="1" xfId="0" applyFont="1" applyFill="1" applyBorder="1" applyAlignment="1">
      <alignment horizontal="right"/>
    </xf>
    <xf numFmtId="165" fontId="1" fillId="12" borderId="3" xfId="0" applyNumberFormat="1" applyFont="1" applyFill="1" applyBorder="1"/>
    <xf numFmtId="165" fontId="1" fillId="12" borderId="5" xfId="0" applyNumberFormat="1" applyFont="1" applyFill="1" applyBorder="1"/>
    <xf numFmtId="165" fontId="1" fillId="12" borderId="8" xfId="0" applyNumberFormat="1" applyFont="1" applyFill="1" applyBorder="1"/>
    <xf numFmtId="166" fontId="1" fillId="9" borderId="0" xfId="0" applyNumberFormat="1" applyFont="1" applyFill="1" applyAlignment="1">
      <alignment horizontal="left"/>
    </xf>
    <xf numFmtId="166" fontId="1" fillId="9" borderId="7" xfId="0" applyNumberFormat="1" applyFont="1" applyFill="1" applyBorder="1" applyAlignment="1">
      <alignment horizontal="left"/>
    </xf>
    <xf numFmtId="0" fontId="1" fillId="9" borderId="0" xfId="0" applyFont="1" applyFill="1" applyAlignment="1">
      <alignment horizontal="left"/>
    </xf>
    <xf numFmtId="0" fontId="1" fillId="10" borderId="13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right"/>
    </xf>
    <xf numFmtId="0" fontId="1" fillId="10" borderId="12" xfId="0" applyFont="1" applyFill="1" applyBorder="1" applyAlignment="1">
      <alignment horizontal="center"/>
    </xf>
    <xf numFmtId="0" fontId="0" fillId="0" borderId="2" xfId="0" applyBorder="1"/>
    <xf numFmtId="0" fontId="0" fillId="5" borderId="12" xfId="0" applyFill="1" applyBorder="1"/>
    <xf numFmtId="0" fontId="0" fillId="5" borderId="13" xfId="0" applyFill="1" applyBorder="1"/>
    <xf numFmtId="0" fontId="0" fillId="2" borderId="1" xfId="0" applyFill="1" applyBorder="1"/>
    <xf numFmtId="0" fontId="0" fillId="2" borderId="14" xfId="0" applyFill="1" applyBorder="1"/>
    <xf numFmtId="0" fontId="0" fillId="2" borderId="3" xfId="0" applyFill="1" applyBorder="1"/>
    <xf numFmtId="0" fontId="0" fillId="9" borderId="16" xfId="0" applyFill="1" applyBorder="1"/>
    <xf numFmtId="0" fontId="0" fillId="9" borderId="0" xfId="0" applyFill="1" applyAlignment="1">
      <alignment horizontal="right"/>
    </xf>
    <xf numFmtId="0" fontId="0" fillId="9" borderId="5" xfId="0" applyFill="1" applyBorder="1"/>
    <xf numFmtId="0" fontId="0" fillId="0" borderId="0" xfId="0" applyAlignment="1">
      <alignment horizontal="left"/>
    </xf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5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7" borderId="4" xfId="0" applyFill="1" applyBorder="1"/>
    <xf numFmtId="0" fontId="0" fillId="6" borderId="0" xfId="0" applyFill="1"/>
    <xf numFmtId="0" fontId="0" fillId="6" borderId="5" xfId="0" applyFill="1" applyBorder="1"/>
    <xf numFmtId="0" fontId="0" fillId="6" borderId="4" xfId="0" applyFill="1" applyBorder="1"/>
    <xf numFmtId="0" fontId="0" fillId="7" borderId="0" xfId="0" applyFill="1"/>
    <xf numFmtId="0" fontId="0" fillId="6" borderId="6" xfId="0" applyFill="1" applyBorder="1"/>
    <xf numFmtId="0" fontId="0" fillId="6" borderId="7" xfId="0" applyFill="1" applyBorder="1"/>
    <xf numFmtId="0" fontId="0" fillId="7" borderId="8" xfId="0" applyFill="1" applyBorder="1"/>
    <xf numFmtId="0" fontId="0" fillId="0" borderId="0" xfId="0" applyAlignment="1">
      <alignment horizontal="center"/>
    </xf>
    <xf numFmtId="0" fontId="0" fillId="10" borderId="4" xfId="0" applyFill="1" applyBorder="1"/>
    <xf numFmtId="0" fontId="0" fillId="10" borderId="9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0" xfId="0" applyFill="1"/>
    <xf numFmtId="0" fontId="0" fillId="11" borderId="5" xfId="0" applyFill="1" applyBorder="1"/>
    <xf numFmtId="0" fontId="0" fillId="2" borderId="7" xfId="0" applyFill="1" applyBorder="1"/>
    <xf numFmtId="0" fontId="0" fillId="11" borderId="8" xfId="0" applyFill="1" applyBorder="1"/>
    <xf numFmtId="0" fontId="0" fillId="10" borderId="15" xfId="0" applyFill="1" applyBorder="1"/>
    <xf numFmtId="0" fontId="0" fillId="2" borderId="12" xfId="0" applyFill="1" applyBorder="1"/>
    <xf numFmtId="0" fontId="0" fillId="11" borderId="11" xfId="0" applyFill="1" applyBorder="1"/>
    <xf numFmtId="0" fontId="0" fillId="11" borderId="13" xfId="0" applyFill="1" applyBorder="1"/>
    <xf numFmtId="0" fontId="0" fillId="12" borderId="1" xfId="0" applyFill="1" applyBorder="1"/>
    <xf numFmtId="0" fontId="0" fillId="12" borderId="4" xfId="0" applyFill="1" applyBorder="1"/>
    <xf numFmtId="0" fontId="0" fillId="12" borderId="6" xfId="0" applyFill="1" applyBorder="1"/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9" borderId="29" xfId="0" applyFill="1" applyBorder="1"/>
    <xf numFmtId="0" fontId="0" fillId="9" borderId="7" xfId="0" applyFill="1" applyBorder="1" applyAlignment="1">
      <alignment horizontal="right"/>
    </xf>
    <xf numFmtId="0" fontId="0" fillId="9" borderId="8" xfId="0" applyFill="1" applyBorder="1"/>
    <xf numFmtId="164" fontId="0" fillId="0" borderId="0" xfId="0" applyNumberFormat="1"/>
    <xf numFmtId="0" fontId="0" fillId="2" borderId="22" xfId="0" applyFill="1" applyBorder="1"/>
    <xf numFmtId="164" fontId="0" fillId="2" borderId="19" xfId="0" applyNumberFormat="1" applyFill="1" applyBorder="1" applyAlignment="1">
      <alignment horizontal="center"/>
    </xf>
    <xf numFmtId="164" fontId="0" fillId="2" borderId="20" xfId="0" applyNumberFormat="1" applyFill="1" applyBorder="1" applyAlignment="1">
      <alignment horizontal="center"/>
    </xf>
    <xf numFmtId="0" fontId="0" fillId="2" borderId="21" xfId="0" applyFill="1" applyBorder="1"/>
    <xf numFmtId="164" fontId="0" fillId="2" borderId="17" xfId="0" applyNumberFormat="1" applyFill="1" applyBorder="1" applyAlignment="1">
      <alignment horizontal="center"/>
    </xf>
    <xf numFmtId="164" fontId="0" fillId="2" borderId="25" xfId="0" applyNumberFormat="1" applyFill="1" applyBorder="1" applyAlignment="1">
      <alignment horizontal="center"/>
    </xf>
    <xf numFmtId="0" fontId="0" fillId="2" borderId="28" xfId="0" applyFill="1" applyBorder="1"/>
    <xf numFmtId="164" fontId="0" fillId="2" borderId="32" xfId="0" applyNumberFormat="1" applyFill="1" applyBorder="1" applyAlignment="1">
      <alignment horizontal="center"/>
    </xf>
    <xf numFmtId="0" fontId="0" fillId="2" borderId="33" xfId="0" applyFill="1" applyBorder="1"/>
    <xf numFmtId="0" fontId="0" fillId="2" borderId="34" xfId="0" applyFill="1" applyBorder="1"/>
    <xf numFmtId="164" fontId="0" fillId="2" borderId="26" xfId="0" applyNumberFormat="1" applyFill="1" applyBorder="1" applyAlignment="1">
      <alignment horizontal="center"/>
    </xf>
    <xf numFmtId="164" fontId="0" fillId="2" borderId="27" xfId="0" applyNumberForma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0" borderId="0" xfId="0" applyAlignment="1">
      <alignment horizontal="right"/>
    </xf>
    <xf numFmtId="165" fontId="0" fillId="2" borderId="17" xfId="0" applyNumberFormat="1" applyFill="1" applyBorder="1" applyAlignment="1">
      <alignment horizontal="center"/>
    </xf>
    <xf numFmtId="165" fontId="0" fillId="2" borderId="25" xfId="0" applyNumberFormat="1" applyFill="1" applyBorder="1" applyAlignment="1">
      <alignment horizontal="center"/>
    </xf>
    <xf numFmtId="165" fontId="0" fillId="2" borderId="30" xfId="0" applyNumberFormat="1" applyFill="1" applyBorder="1" applyAlignment="1">
      <alignment horizontal="center"/>
    </xf>
    <xf numFmtId="165" fontId="0" fillId="2" borderId="26" xfId="0" applyNumberFormat="1" applyFill="1" applyBorder="1" applyAlignment="1">
      <alignment horizontal="center"/>
    </xf>
    <xf numFmtId="165" fontId="0" fillId="2" borderId="31" xfId="0" applyNumberFormat="1" applyFill="1" applyBorder="1" applyAlignment="1">
      <alignment horizontal="center"/>
    </xf>
    <xf numFmtId="165" fontId="0" fillId="2" borderId="27" xfId="0" applyNumberFormat="1" applyFill="1" applyBorder="1" applyAlignment="1">
      <alignment horizontal="center"/>
    </xf>
    <xf numFmtId="165" fontId="0" fillId="2" borderId="19" xfId="0" applyNumberFormat="1" applyFill="1" applyBorder="1" applyAlignment="1">
      <alignment horizontal="center"/>
    </xf>
    <xf numFmtId="165" fontId="0" fillId="2" borderId="35" xfId="0" applyNumberFormat="1" applyFill="1" applyBorder="1" applyAlignment="1">
      <alignment horizontal="center"/>
    </xf>
    <xf numFmtId="165" fontId="0" fillId="2" borderId="20" xfId="0" applyNumberFormat="1" applyFill="1" applyBorder="1" applyAlignment="1">
      <alignment horizontal="center"/>
    </xf>
    <xf numFmtId="164" fontId="0" fillId="2" borderId="23" xfId="0" applyNumberFormat="1" applyFill="1" applyBorder="1" applyAlignment="1">
      <alignment horizontal="center"/>
    </xf>
    <xf numFmtId="164" fontId="0" fillId="2" borderId="24" xfId="0" applyNumberFormat="1" applyFill="1" applyBorder="1" applyAlignment="1">
      <alignment horizontal="center"/>
    </xf>
    <xf numFmtId="164" fontId="0" fillId="2" borderId="33" xfId="0" applyNumberFormat="1" applyFill="1" applyBorder="1" applyAlignment="1">
      <alignment horizontal="center"/>
    </xf>
    <xf numFmtId="164" fontId="0" fillId="2" borderId="18" xfId="0" applyNumberForma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0" fillId="2" borderId="38" xfId="0" applyFill="1" applyBorder="1" applyAlignment="1">
      <alignment horizontal="right"/>
    </xf>
    <xf numFmtId="0" fontId="0" fillId="2" borderId="36" xfId="0" applyFill="1" applyBorder="1" applyAlignment="1">
      <alignment horizontal="right"/>
    </xf>
    <xf numFmtId="0" fontId="0" fillId="2" borderId="37" xfId="0" applyFill="1" applyBorder="1" applyAlignment="1">
      <alignment horizontal="right"/>
    </xf>
    <xf numFmtId="165" fontId="0" fillId="2" borderId="23" xfId="0" applyNumberFormat="1" applyFill="1" applyBorder="1" applyAlignment="1">
      <alignment horizontal="center"/>
    </xf>
    <xf numFmtId="165" fontId="0" fillId="2" borderId="24" xfId="0" applyNumberFormat="1" applyFill="1" applyBorder="1" applyAlignment="1">
      <alignment horizontal="center"/>
    </xf>
    <xf numFmtId="3" fontId="0" fillId="2" borderId="23" xfId="0" applyNumberFormat="1" applyFill="1" applyBorder="1" applyAlignment="1">
      <alignment horizontal="center"/>
    </xf>
    <xf numFmtId="3" fontId="0" fillId="2" borderId="39" xfId="0" applyNumberFormat="1" applyFill="1" applyBorder="1" applyAlignment="1">
      <alignment horizontal="center"/>
    </xf>
    <xf numFmtId="165" fontId="0" fillId="2" borderId="40" xfId="0" applyNumberFormat="1" applyFill="1" applyBorder="1" applyAlignment="1">
      <alignment horizontal="center"/>
    </xf>
    <xf numFmtId="3" fontId="0" fillId="0" borderId="0" xfId="0" applyNumberFormat="1"/>
    <xf numFmtId="165" fontId="0" fillId="2" borderId="39" xfId="0" applyNumberFormat="1" applyFill="1" applyBorder="1" applyAlignment="1">
      <alignment horizontal="center"/>
    </xf>
    <xf numFmtId="3" fontId="0" fillId="2" borderId="9" xfId="0" applyNumberFormat="1" applyFill="1" applyBorder="1"/>
    <xf numFmtId="165" fontId="0" fillId="0" borderId="0" xfId="0" applyNumberFormat="1"/>
    <xf numFmtId="165" fontId="0" fillId="2" borderId="32" xfId="0" applyNumberFormat="1" applyFill="1" applyBorder="1" applyAlignment="1">
      <alignment horizontal="center"/>
    </xf>
    <xf numFmtId="165" fontId="0" fillId="2" borderId="41" xfId="0" applyNumberFormat="1" applyFill="1" applyBorder="1" applyAlignment="1">
      <alignment horizontal="center"/>
    </xf>
    <xf numFmtId="165" fontId="0" fillId="2" borderId="18" xfId="0" applyNumberFormat="1" applyFill="1" applyBorder="1" applyAlignment="1">
      <alignment horizontal="center"/>
    </xf>
    <xf numFmtId="0" fontId="1" fillId="10" borderId="13" xfId="0" applyFont="1" applyFill="1" applyBorder="1" applyAlignment="1">
      <alignment horizontal="left"/>
    </xf>
    <xf numFmtId="165" fontId="0" fillId="2" borderId="38" xfId="0" applyNumberFormat="1" applyFill="1" applyBorder="1" applyAlignment="1">
      <alignment horizontal="center"/>
    </xf>
    <xf numFmtId="165" fontId="0" fillId="2" borderId="36" xfId="0" applyNumberFormat="1" applyFill="1" applyBorder="1" applyAlignment="1">
      <alignment horizontal="center"/>
    </xf>
    <xf numFmtId="165" fontId="0" fillId="2" borderId="37" xfId="0" applyNumberFormat="1" applyFill="1" applyBorder="1" applyAlignment="1">
      <alignment horizontal="center"/>
    </xf>
    <xf numFmtId="0" fontId="0" fillId="2" borderId="20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165" fontId="0" fillId="2" borderId="42" xfId="0" applyNumberFormat="1" applyFill="1" applyBorder="1" applyAlignment="1">
      <alignment horizontal="center"/>
    </xf>
    <xf numFmtId="165" fontId="0" fillId="2" borderId="43" xfId="0" applyNumberFormat="1" applyFill="1" applyBorder="1" applyAlignment="1">
      <alignment horizontal="center"/>
    </xf>
    <xf numFmtId="0" fontId="0" fillId="12" borderId="4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7"/>
  <sheetViews>
    <sheetView tabSelected="1" topLeftCell="A60" zoomScale="95" zoomScaleNormal="95" workbookViewId="0">
      <selection activeCell="E80" sqref="E80"/>
    </sheetView>
  </sheetViews>
  <sheetFormatPr defaultRowHeight="15" x14ac:dyDescent="0.25"/>
  <cols>
    <col min="2" max="2" width="26" customWidth="1"/>
    <col min="3" max="3" width="34.5703125" customWidth="1"/>
    <col min="4" max="4" width="23.5703125" customWidth="1"/>
    <col min="5" max="5" width="29.28515625" customWidth="1"/>
    <col min="6" max="6" width="33.42578125" customWidth="1"/>
    <col min="7" max="7" width="24.85546875" customWidth="1"/>
    <col min="8" max="8" width="30.28515625" customWidth="1"/>
    <col min="9" max="9" width="67.140625" customWidth="1"/>
    <col min="10" max="10" width="100.5703125" customWidth="1"/>
    <col min="11" max="11" width="27.5703125" customWidth="1"/>
    <col min="12" max="12" width="41.85546875" customWidth="1"/>
    <col min="13" max="13" width="26.7109375" customWidth="1"/>
    <col min="14" max="14" width="71" customWidth="1"/>
    <col min="16" max="16" width="18.140625" customWidth="1"/>
    <col min="17" max="17" width="10.42578125" customWidth="1"/>
    <col min="18" max="18" width="31.7109375" customWidth="1"/>
    <col min="19" max="19" width="12.140625" customWidth="1"/>
    <col min="20" max="20" width="27.28515625" customWidth="1"/>
    <col min="22" max="22" width="21.85546875" customWidth="1"/>
    <col min="23" max="23" width="14.5703125" customWidth="1"/>
    <col min="24" max="24" width="15.7109375" customWidth="1"/>
    <col min="26" max="26" width="16.7109375" customWidth="1"/>
  </cols>
  <sheetData>
    <row r="1" spans="2:30" ht="15.75" thickBot="1" x14ac:dyDescent="0.3">
      <c r="L1" s="23"/>
      <c r="M1" s="23"/>
    </row>
    <row r="2" spans="2:30" ht="15.75" thickBot="1" x14ac:dyDescent="0.3">
      <c r="B2" s="4" t="s">
        <v>0</v>
      </c>
      <c r="C2" s="5" t="s">
        <v>1</v>
      </c>
      <c r="D2" s="6" t="s">
        <v>2</v>
      </c>
      <c r="G2" s="3"/>
      <c r="H2" s="3"/>
      <c r="I2" s="3"/>
      <c r="J2" s="4" t="s">
        <v>83</v>
      </c>
      <c r="K2" s="5" t="s">
        <v>169</v>
      </c>
      <c r="L2" s="5" t="s">
        <v>162</v>
      </c>
      <c r="M2" s="6" t="s">
        <v>2</v>
      </c>
      <c r="N2" s="3" t="s">
        <v>170</v>
      </c>
      <c r="P2" s="1" t="s">
        <v>3</v>
      </c>
      <c r="Q2" s="2" t="s">
        <v>89</v>
      </c>
      <c r="R2" s="24"/>
      <c r="S2" s="2" t="s">
        <v>90</v>
      </c>
      <c r="T2" s="25"/>
      <c r="V2" s="3" t="s">
        <v>153</v>
      </c>
      <c r="Z2" s="3"/>
    </row>
    <row r="3" spans="2:30" ht="15.75" thickBot="1" x14ac:dyDescent="0.3">
      <c r="B3" s="26" t="s">
        <v>163</v>
      </c>
      <c r="C3" s="27">
        <v>240</v>
      </c>
      <c r="D3" s="28" t="s">
        <v>172</v>
      </c>
      <c r="J3" s="29" t="s">
        <v>280</v>
      </c>
      <c r="K3" s="30" t="s">
        <v>269</v>
      </c>
      <c r="L3" s="17">
        <f>-L5*C7</f>
        <v>1041.6666666666667</v>
      </c>
      <c r="M3" s="31" t="s">
        <v>281</v>
      </c>
      <c r="N3" s="32" t="s">
        <v>350</v>
      </c>
      <c r="P3" s="33" t="s">
        <v>4</v>
      </c>
      <c r="Q3" s="34" t="s">
        <v>28</v>
      </c>
      <c r="R3" s="34" t="s">
        <v>78</v>
      </c>
      <c r="S3" s="34" t="s">
        <v>52</v>
      </c>
      <c r="T3" s="35"/>
    </row>
    <row r="4" spans="2:30" x14ac:dyDescent="0.25">
      <c r="B4" s="36" t="s">
        <v>96</v>
      </c>
      <c r="C4" s="37">
        <v>72</v>
      </c>
      <c r="D4" s="38" t="s">
        <v>172</v>
      </c>
      <c r="J4" s="29" t="s">
        <v>270</v>
      </c>
      <c r="K4" s="30" t="s">
        <v>271</v>
      </c>
      <c r="L4" s="17">
        <v>0</v>
      </c>
      <c r="M4" s="31" t="s">
        <v>166</v>
      </c>
      <c r="N4" s="32">
        <v>0</v>
      </c>
      <c r="P4" s="33" t="s">
        <v>5</v>
      </c>
      <c r="Q4" s="34" t="s">
        <v>29</v>
      </c>
      <c r="R4" s="34"/>
      <c r="S4" s="34" t="s">
        <v>53</v>
      </c>
      <c r="T4" s="35"/>
      <c r="V4" s="39" t="s">
        <v>154</v>
      </c>
      <c r="W4" s="40" t="s">
        <v>155</v>
      </c>
      <c r="X4" s="41" t="s">
        <v>156</v>
      </c>
    </row>
    <row r="5" spans="2:30" x14ac:dyDescent="0.25">
      <c r="B5" s="36" t="s">
        <v>97</v>
      </c>
      <c r="C5" s="37">
        <v>12</v>
      </c>
      <c r="D5" s="38" t="s">
        <v>172</v>
      </c>
      <c r="J5" s="29" t="s">
        <v>275</v>
      </c>
      <c r="K5" s="30" t="s">
        <v>279</v>
      </c>
      <c r="L5" s="17">
        <f>C10/C6</f>
        <v>-17.361111111111111</v>
      </c>
      <c r="M5" s="31" t="s">
        <v>274</v>
      </c>
      <c r="N5" s="32" t="s">
        <v>351</v>
      </c>
      <c r="P5" s="33" t="s">
        <v>6</v>
      </c>
      <c r="Q5" s="34" t="s">
        <v>30</v>
      </c>
      <c r="R5" s="34" t="s">
        <v>144</v>
      </c>
      <c r="S5" s="34" t="s">
        <v>54</v>
      </c>
      <c r="T5" s="35"/>
      <c r="V5" s="42">
        <f>1</f>
        <v>1</v>
      </c>
      <c r="W5" s="43">
        <f>(1/60)</f>
        <v>1.6666666666666666E-2</v>
      </c>
      <c r="X5" s="44">
        <f>(1/60)</f>
        <v>1.6666666666666666E-2</v>
      </c>
    </row>
    <row r="6" spans="2:30" x14ac:dyDescent="0.25">
      <c r="B6" s="36" t="s">
        <v>98</v>
      </c>
      <c r="C6" s="37">
        <f>8*12</f>
        <v>96</v>
      </c>
      <c r="D6" s="38" t="s">
        <v>172</v>
      </c>
      <c r="J6" s="29" t="s">
        <v>276</v>
      </c>
      <c r="K6" s="30" t="s">
        <v>282</v>
      </c>
      <c r="L6" s="19">
        <f>C11 / (C4 ^ 5)</f>
        <v>-9.2596534190178215E-7</v>
      </c>
      <c r="M6" s="31" t="s">
        <v>283</v>
      </c>
      <c r="N6" s="32" t="s">
        <v>352</v>
      </c>
      <c r="P6" s="33" t="s">
        <v>7</v>
      </c>
      <c r="Q6" s="34" t="s">
        <v>31</v>
      </c>
      <c r="R6" s="34" t="s">
        <v>77</v>
      </c>
      <c r="S6" s="34" t="s">
        <v>55</v>
      </c>
      <c r="T6" s="35" t="s">
        <v>79</v>
      </c>
      <c r="V6" s="45">
        <v>60</v>
      </c>
      <c r="W6" s="46">
        <v>1</v>
      </c>
      <c r="X6" s="44">
        <v>1</v>
      </c>
    </row>
    <row r="7" spans="2:30" ht="15.75" thickBot="1" x14ac:dyDescent="0.3">
      <c r="B7" s="36" t="s">
        <v>99</v>
      </c>
      <c r="C7" s="37">
        <v>60</v>
      </c>
      <c r="D7" s="38" t="s">
        <v>172</v>
      </c>
      <c r="J7" s="29" t="s">
        <v>272</v>
      </c>
      <c r="K7" s="30" t="s">
        <v>273</v>
      </c>
      <c r="L7" s="17">
        <f>(L3 * C6) + (1 / 2) * (C6 * L5) * (C6 + (2 * C7))</f>
        <v>-79999.999999999971</v>
      </c>
      <c r="M7" s="31" t="s">
        <v>166</v>
      </c>
      <c r="N7" s="32" t="s">
        <v>353</v>
      </c>
      <c r="P7" s="33" t="s">
        <v>8</v>
      </c>
      <c r="Q7" s="34" t="s">
        <v>32</v>
      </c>
      <c r="R7" s="34"/>
      <c r="S7" s="34" t="s">
        <v>56</v>
      </c>
      <c r="T7" s="35"/>
      <c r="V7" s="47">
        <v>60</v>
      </c>
      <c r="W7" s="48">
        <v>1</v>
      </c>
      <c r="X7" s="49">
        <v>1</v>
      </c>
    </row>
    <row r="8" spans="2:30" ht="15.75" thickBot="1" x14ac:dyDescent="0.3">
      <c r="B8" s="36" t="s">
        <v>164</v>
      </c>
      <c r="C8" s="37" t="s">
        <v>167</v>
      </c>
      <c r="D8" s="38"/>
      <c r="J8" s="29" t="s">
        <v>290</v>
      </c>
      <c r="K8" s="30" t="s">
        <v>291</v>
      </c>
      <c r="L8" s="17">
        <f>(1 / 6) * (L6) * (C5 + C6 + C7 - C3) ^ 6</f>
        <v>-21500</v>
      </c>
      <c r="M8" s="31" t="s">
        <v>166</v>
      </c>
      <c r="N8" s="32" t="s">
        <v>354</v>
      </c>
      <c r="P8" s="33" t="s">
        <v>9</v>
      </c>
      <c r="Q8" s="34" t="s">
        <v>33</v>
      </c>
      <c r="R8" s="34"/>
      <c r="S8" s="34" t="s">
        <v>57</v>
      </c>
      <c r="T8" s="35"/>
    </row>
    <row r="9" spans="2:30" x14ac:dyDescent="0.25">
      <c r="B9" s="36" t="s">
        <v>165</v>
      </c>
      <c r="C9" s="37" t="s">
        <v>168</v>
      </c>
      <c r="D9" s="38"/>
      <c r="J9" s="29" t="s">
        <v>285</v>
      </c>
      <c r="K9" s="30" t="s">
        <v>284</v>
      </c>
      <c r="L9" s="17">
        <f>-(L7+L8)</f>
        <v>101499.99999999997</v>
      </c>
      <c r="M9" s="31" t="s">
        <v>166</v>
      </c>
      <c r="N9" s="32" t="s">
        <v>355</v>
      </c>
      <c r="P9" s="33" t="s">
        <v>10</v>
      </c>
      <c r="Q9" s="34" t="s">
        <v>34</v>
      </c>
      <c r="R9" s="34"/>
      <c r="S9" s="34" t="s">
        <v>58</v>
      </c>
      <c r="T9" s="35"/>
      <c r="V9" s="39" t="s">
        <v>157</v>
      </c>
      <c r="W9" s="40" t="s">
        <v>158</v>
      </c>
      <c r="X9" s="41" t="s">
        <v>159</v>
      </c>
    </row>
    <row r="10" spans="2:30" x14ac:dyDescent="0.25">
      <c r="B10" s="36" t="s">
        <v>277</v>
      </c>
      <c r="C10" s="37">
        <f>-20000/(12)</f>
        <v>-1666.6666666666667</v>
      </c>
      <c r="D10" s="38" t="s">
        <v>281</v>
      </c>
      <c r="J10" s="29" t="s">
        <v>293</v>
      </c>
      <c r="K10" s="30" t="s">
        <v>294</v>
      </c>
      <c r="L10" s="17">
        <f>L9</f>
        <v>101499.99999999997</v>
      </c>
      <c r="M10" s="31" t="s">
        <v>166</v>
      </c>
      <c r="N10" s="32" t="s">
        <v>356</v>
      </c>
      <c r="P10" s="33" t="s">
        <v>11</v>
      </c>
      <c r="Q10" s="34" t="s">
        <v>35</v>
      </c>
      <c r="R10" s="34" t="s">
        <v>145</v>
      </c>
      <c r="S10" s="34" t="s">
        <v>59</v>
      </c>
      <c r="T10" s="35"/>
      <c r="V10" s="42">
        <v>1</v>
      </c>
      <c r="W10" s="43">
        <v>550</v>
      </c>
      <c r="X10" s="44">
        <v>6600</v>
      </c>
    </row>
    <row r="11" spans="2:30" x14ac:dyDescent="0.25">
      <c r="B11" s="36" t="s">
        <v>278</v>
      </c>
      <c r="C11" s="37">
        <f>-21500/12</f>
        <v>-1791.6666666666667</v>
      </c>
      <c r="D11" s="38" t="s">
        <v>281</v>
      </c>
      <c r="J11" s="29" t="s">
        <v>297</v>
      </c>
      <c r="K11" s="30" t="s">
        <v>296</v>
      </c>
      <c r="L11" s="17">
        <f>L10 + L7</f>
        <v>21500</v>
      </c>
      <c r="M11" s="31" t="s">
        <v>166</v>
      </c>
      <c r="N11" s="32" t="s">
        <v>357</v>
      </c>
      <c r="P11" s="33" t="s">
        <v>12</v>
      </c>
      <c r="Q11" s="34" t="s">
        <v>36</v>
      </c>
      <c r="R11" s="34"/>
      <c r="S11" s="34" t="s">
        <v>60</v>
      </c>
      <c r="T11" s="35"/>
      <c r="V11" s="45">
        <f>1 / 550</f>
        <v>1.8181818181818182E-3</v>
      </c>
      <c r="W11" s="46">
        <v>1</v>
      </c>
      <c r="X11" s="44">
        <f>6600/550</f>
        <v>12</v>
      </c>
    </row>
    <row r="12" spans="2:30" ht="15.75" thickBot="1" x14ac:dyDescent="0.3">
      <c r="B12" s="36" t="s">
        <v>91</v>
      </c>
      <c r="C12" s="37">
        <v>4</v>
      </c>
      <c r="D12" s="38"/>
      <c r="J12" s="29" t="s">
        <v>295</v>
      </c>
      <c r="K12" s="30" t="s">
        <v>288</v>
      </c>
      <c r="L12" s="17">
        <f>L11</f>
        <v>21500</v>
      </c>
      <c r="M12" s="31" t="s">
        <v>166</v>
      </c>
      <c r="N12" s="32" t="s">
        <v>359</v>
      </c>
      <c r="P12" s="33" t="s">
        <v>13</v>
      </c>
      <c r="Q12" s="34" t="s">
        <v>37</v>
      </c>
      <c r="R12" s="34"/>
      <c r="S12" s="34" t="s">
        <v>61</v>
      </c>
      <c r="T12" s="35"/>
      <c r="V12" s="47">
        <f>1/6600</f>
        <v>1.5151515151515152E-4</v>
      </c>
      <c r="W12" s="48">
        <f>550/6600</f>
        <v>8.3333333333333329E-2</v>
      </c>
      <c r="X12" s="49">
        <v>1</v>
      </c>
    </row>
    <row r="13" spans="2:30" x14ac:dyDescent="0.25">
      <c r="B13" s="36" t="s">
        <v>171</v>
      </c>
      <c r="C13" s="37">
        <f>1/2</f>
        <v>0.5</v>
      </c>
      <c r="D13" s="38" t="s">
        <v>172</v>
      </c>
      <c r="J13" s="29" t="s">
        <v>289</v>
      </c>
      <c r="K13" s="30" t="s">
        <v>292</v>
      </c>
      <c r="L13" s="17">
        <f>L12 + L8</f>
        <v>0</v>
      </c>
      <c r="M13" s="31" t="s">
        <v>166</v>
      </c>
      <c r="N13" s="32" t="s">
        <v>358</v>
      </c>
      <c r="P13" s="33" t="s">
        <v>14</v>
      </c>
      <c r="Q13" s="34" t="s">
        <v>38</v>
      </c>
      <c r="R13" s="34"/>
      <c r="S13" s="34" t="s">
        <v>62</v>
      </c>
      <c r="T13" s="35"/>
    </row>
    <row r="14" spans="2:30" x14ac:dyDescent="0.25">
      <c r="B14" s="36" t="s">
        <v>173</v>
      </c>
      <c r="C14" s="37">
        <v>4</v>
      </c>
      <c r="D14" s="38" t="s">
        <v>172</v>
      </c>
      <c r="E14" s="50"/>
      <c r="F14" s="50"/>
      <c r="J14" s="29" t="s">
        <v>298</v>
      </c>
      <c r="K14" s="30" t="s">
        <v>286</v>
      </c>
      <c r="L14" s="17">
        <f>L10</f>
        <v>101499.99999999997</v>
      </c>
      <c r="M14" s="31" t="s">
        <v>166</v>
      </c>
      <c r="N14" s="32" t="s">
        <v>360</v>
      </c>
      <c r="P14" s="33" t="s">
        <v>15</v>
      </c>
      <c r="Q14" s="34" t="s">
        <v>39</v>
      </c>
      <c r="R14" s="34"/>
      <c r="S14" s="34" t="s">
        <v>63</v>
      </c>
      <c r="T14" s="35"/>
      <c r="Z14" s="50"/>
      <c r="AA14" s="50"/>
      <c r="AB14" s="50"/>
      <c r="AC14" s="50"/>
      <c r="AD14" s="50"/>
    </row>
    <row r="15" spans="2:30" x14ac:dyDescent="0.25">
      <c r="B15" s="36" t="s">
        <v>175</v>
      </c>
      <c r="C15" s="37">
        <f>36000</f>
        <v>36000</v>
      </c>
      <c r="D15" s="38" t="s">
        <v>174</v>
      </c>
      <c r="J15" s="29" t="s">
        <v>302</v>
      </c>
      <c r="K15" s="30" t="s">
        <v>287</v>
      </c>
      <c r="L15" s="17">
        <f>L10+(1/2)*(C24-C7)*(L5*(C24+C7)+(2*L3))</f>
        <v>250</v>
      </c>
      <c r="M15" s="31" t="s">
        <v>166</v>
      </c>
      <c r="N15" s="32" t="s">
        <v>361</v>
      </c>
      <c r="P15" s="33" t="s">
        <v>16</v>
      </c>
      <c r="Q15" s="34" t="s">
        <v>40</v>
      </c>
      <c r="R15" s="34" t="s">
        <v>143</v>
      </c>
      <c r="S15" s="34" t="s">
        <v>64</v>
      </c>
      <c r="T15" s="35"/>
    </row>
    <row r="16" spans="2:30" x14ac:dyDescent="0.25">
      <c r="B16" s="36" t="s">
        <v>103</v>
      </c>
      <c r="C16" s="37">
        <v>1</v>
      </c>
      <c r="D16" s="38" t="s">
        <v>240</v>
      </c>
      <c r="J16" s="29" t="s">
        <v>300</v>
      </c>
      <c r="K16" s="30" t="s">
        <v>299</v>
      </c>
      <c r="L16" s="17">
        <f>L11</f>
        <v>21500</v>
      </c>
      <c r="M16" s="31" t="s">
        <v>166</v>
      </c>
      <c r="N16" s="32" t="s">
        <v>359</v>
      </c>
      <c r="P16" s="33" t="s">
        <v>17</v>
      </c>
      <c r="Q16" s="34" t="s">
        <v>41</v>
      </c>
      <c r="R16" s="34"/>
      <c r="S16" s="34" t="s">
        <v>65</v>
      </c>
      <c r="T16" s="35"/>
    </row>
    <row r="17" spans="2:20" x14ac:dyDescent="0.25">
      <c r="B17" s="36" t="s">
        <v>81</v>
      </c>
      <c r="C17" s="37">
        <f>29000*1000</f>
        <v>29000000</v>
      </c>
      <c r="D17" s="38" t="s">
        <v>174</v>
      </c>
      <c r="J17" s="29" t="s">
        <v>303</v>
      </c>
      <c r="K17" s="30" t="s">
        <v>301</v>
      </c>
      <c r="L17" s="17">
        <f>L12+(1/6)*(L6)*(C5+C6+C7-C24)^6</f>
        <v>21500</v>
      </c>
      <c r="M17" s="31" t="s">
        <v>166</v>
      </c>
      <c r="N17" s="32" t="s">
        <v>362</v>
      </c>
      <c r="P17" s="33" t="s">
        <v>18</v>
      </c>
      <c r="Q17" s="34" t="s">
        <v>42</v>
      </c>
      <c r="R17" s="34"/>
      <c r="S17" s="34" t="s">
        <v>66</v>
      </c>
      <c r="T17" s="35"/>
    </row>
    <row r="18" spans="2:20" x14ac:dyDescent="0.25">
      <c r="B18" s="51" t="s">
        <v>176</v>
      </c>
      <c r="C18" s="52">
        <v>2.5355727870330917</v>
      </c>
      <c r="D18" s="38" t="s">
        <v>172</v>
      </c>
      <c r="J18" s="29" t="s">
        <v>307</v>
      </c>
      <c r="K18" s="30" t="s">
        <v>307</v>
      </c>
      <c r="L18" s="17">
        <f>(1/6)*(C6^2)*(L5)*((2*C6)+(3*C7))</f>
        <v>-9920000</v>
      </c>
      <c r="M18" s="31" t="s">
        <v>306</v>
      </c>
      <c r="N18" s="32" t="s">
        <v>363</v>
      </c>
      <c r="P18" s="33" t="s">
        <v>19</v>
      </c>
      <c r="Q18" s="34" t="s">
        <v>43</v>
      </c>
      <c r="R18" s="34">
        <v>3.1415926500000002</v>
      </c>
      <c r="S18" s="34" t="s">
        <v>67</v>
      </c>
      <c r="T18" s="35"/>
    </row>
    <row r="19" spans="2:20" x14ac:dyDescent="0.25">
      <c r="B19" s="51" t="s">
        <v>177</v>
      </c>
      <c r="C19" s="52">
        <v>0.5</v>
      </c>
      <c r="D19" s="38" t="s">
        <v>172</v>
      </c>
      <c r="J19" s="29" t="s">
        <v>308</v>
      </c>
      <c r="K19" s="30" t="s">
        <v>308</v>
      </c>
      <c r="L19" s="17">
        <f>(1/42)*(L6)*((C6+C7-C3+C5)^6)*(C5+C6+C7+6*C3)</f>
        <v>-4938857.1428571427</v>
      </c>
      <c r="M19" s="31" t="s">
        <v>306</v>
      </c>
      <c r="N19" s="32" t="s">
        <v>364</v>
      </c>
      <c r="P19" s="33" t="s">
        <v>20</v>
      </c>
      <c r="Q19" s="34" t="s">
        <v>44</v>
      </c>
      <c r="R19" s="34"/>
      <c r="S19" s="34" t="s">
        <v>68</v>
      </c>
      <c r="T19" s="35"/>
    </row>
    <row r="20" spans="2:20" x14ac:dyDescent="0.25">
      <c r="B20" s="51" t="s">
        <v>100</v>
      </c>
      <c r="C20" s="52">
        <v>14.263049270073461</v>
      </c>
      <c r="D20" s="38" t="s">
        <v>172</v>
      </c>
      <c r="J20" s="29" t="s">
        <v>309</v>
      </c>
      <c r="K20" s="30" t="s">
        <v>310</v>
      </c>
      <c r="L20" s="17">
        <f>-(L18+L19)</f>
        <v>14858857.142857142</v>
      </c>
      <c r="M20" s="31" t="s">
        <v>313</v>
      </c>
      <c r="N20" s="32" t="s">
        <v>365</v>
      </c>
      <c r="P20" s="33" t="s">
        <v>21</v>
      </c>
      <c r="Q20" s="34" t="s">
        <v>45</v>
      </c>
      <c r="R20" s="34"/>
      <c r="S20" s="34" t="s">
        <v>69</v>
      </c>
      <c r="T20" s="35" t="s">
        <v>86</v>
      </c>
    </row>
    <row r="21" spans="2:20" x14ac:dyDescent="0.25">
      <c r="B21" s="51" t="s">
        <v>94</v>
      </c>
      <c r="C21" s="52">
        <v>11.952825368992725</v>
      </c>
      <c r="D21" s="38" t="s">
        <v>172</v>
      </c>
      <c r="J21" s="29" t="s">
        <v>311</v>
      </c>
      <c r="K21" s="30" t="s">
        <v>312</v>
      </c>
      <c r="L21" s="17">
        <f>L20</f>
        <v>14858857.142857142</v>
      </c>
      <c r="M21" s="31" t="s">
        <v>305</v>
      </c>
      <c r="N21" s="32" t="s">
        <v>366</v>
      </c>
      <c r="P21" s="33" t="s">
        <v>22</v>
      </c>
      <c r="Q21" s="34" t="s">
        <v>46</v>
      </c>
      <c r="R21" s="34"/>
      <c r="S21" s="34" t="s">
        <v>70</v>
      </c>
      <c r="T21" s="35"/>
    </row>
    <row r="22" spans="2:20" x14ac:dyDescent="0.25">
      <c r="B22" s="36" t="s">
        <v>230</v>
      </c>
      <c r="C22" s="37">
        <f>C19 * 2</f>
        <v>1</v>
      </c>
      <c r="D22" s="38" t="s">
        <v>172</v>
      </c>
      <c r="J22" s="29" t="s">
        <v>314</v>
      </c>
      <c r="K22" s="30" t="s">
        <v>315</v>
      </c>
      <c r="L22" s="17">
        <f>L21 - (L10 * C7)</f>
        <v>8768857.1428571437</v>
      </c>
      <c r="M22" s="31" t="s">
        <v>305</v>
      </c>
      <c r="N22" s="32" t="s">
        <v>367</v>
      </c>
      <c r="P22" s="33" t="s">
        <v>23</v>
      </c>
      <c r="Q22" s="34" t="s">
        <v>47</v>
      </c>
      <c r="R22" s="34"/>
      <c r="S22" s="34" t="s">
        <v>71</v>
      </c>
      <c r="T22" s="35"/>
    </row>
    <row r="23" spans="2:20" x14ac:dyDescent="0.25">
      <c r="B23" s="36" t="s">
        <v>248</v>
      </c>
      <c r="C23" s="37">
        <v>1</v>
      </c>
      <c r="D23" s="38" t="s">
        <v>172</v>
      </c>
      <c r="J23" s="29" t="s">
        <v>304</v>
      </c>
      <c r="K23" s="30" t="s">
        <v>304</v>
      </c>
      <c r="L23" s="17">
        <f>L22 - (1/6)*(C6)*(3*L3*C6+C6*L5*(C6+3*C7)+6*L10)</f>
        <v>1584857.1428571464</v>
      </c>
      <c r="M23" s="31" t="s">
        <v>305</v>
      </c>
      <c r="N23" s="32" t="s">
        <v>368</v>
      </c>
      <c r="P23" s="33" t="s">
        <v>24</v>
      </c>
      <c r="Q23" s="34" t="s">
        <v>48</v>
      </c>
      <c r="R23" s="34"/>
      <c r="S23" s="34" t="s">
        <v>72</v>
      </c>
      <c r="T23" s="35" t="s">
        <v>76</v>
      </c>
    </row>
    <row r="24" spans="2:20" x14ac:dyDescent="0.25">
      <c r="B24" s="36" t="s">
        <v>115</v>
      </c>
      <c r="C24" s="115">
        <v>168</v>
      </c>
      <c r="D24" s="38" t="s">
        <v>172</v>
      </c>
      <c r="I24" s="50"/>
      <c r="J24" s="29" t="s">
        <v>316</v>
      </c>
      <c r="K24" s="30" t="s">
        <v>317</v>
      </c>
      <c r="L24" s="17">
        <f>L23 - (L12 * C5)</f>
        <v>1326857.1428571464</v>
      </c>
      <c r="M24" s="31" t="s">
        <v>305</v>
      </c>
      <c r="N24" s="32" t="s">
        <v>369</v>
      </c>
      <c r="P24" s="33" t="s">
        <v>25</v>
      </c>
      <c r="Q24" s="34" t="s">
        <v>49</v>
      </c>
      <c r="R24" s="34"/>
      <c r="S24" s="34" t="s">
        <v>73</v>
      </c>
      <c r="T24" s="35"/>
    </row>
    <row r="25" spans="2:20" x14ac:dyDescent="0.25">
      <c r="B25" s="36" t="s">
        <v>260</v>
      </c>
      <c r="C25" s="37">
        <v>0.28399999999999997</v>
      </c>
      <c r="D25" s="38" t="s">
        <v>261</v>
      </c>
      <c r="I25" s="50"/>
      <c r="J25" s="29" t="s">
        <v>318</v>
      </c>
      <c r="K25" s="30" t="s">
        <v>319</v>
      </c>
      <c r="L25" s="17">
        <f>L24-(-L12*(C5+C6+C7-C3)-(1/42)*(L6)*(C5+C6+C7-C3)^7)</f>
        <v>3.4924596548080444E-9</v>
      </c>
      <c r="M25" s="31" t="s">
        <v>305</v>
      </c>
      <c r="N25" s="32" t="s">
        <v>370</v>
      </c>
      <c r="P25" s="33" t="s">
        <v>26</v>
      </c>
      <c r="Q25" s="34" t="s">
        <v>50</v>
      </c>
      <c r="R25" s="34"/>
      <c r="S25" s="34" t="s">
        <v>74</v>
      </c>
      <c r="T25" s="35"/>
    </row>
    <row r="26" spans="2:20" ht="15.75" thickBot="1" x14ac:dyDescent="0.3">
      <c r="B26" s="36" t="s">
        <v>406</v>
      </c>
      <c r="C26" s="37">
        <v>20000</v>
      </c>
      <c r="D26" s="38" t="s">
        <v>174</v>
      </c>
      <c r="I26" s="50"/>
      <c r="J26" s="29" t="s">
        <v>320</v>
      </c>
      <c r="K26" s="30" t="s">
        <v>321</v>
      </c>
      <c r="L26" s="17">
        <f>L21 - (L10*C24)</f>
        <v>-2193142.8571428545</v>
      </c>
      <c r="M26" s="31" t="s">
        <v>305</v>
      </c>
      <c r="N26" s="32" t="s">
        <v>371</v>
      </c>
      <c r="P26" s="53" t="s">
        <v>27</v>
      </c>
      <c r="Q26" s="54" t="s">
        <v>51</v>
      </c>
      <c r="R26" s="54" t="s">
        <v>152</v>
      </c>
      <c r="S26" s="54" t="s">
        <v>75</v>
      </c>
      <c r="T26" s="55"/>
    </row>
    <row r="27" spans="2:20" ht="15.75" thickBot="1" x14ac:dyDescent="0.3">
      <c r="B27" s="36"/>
      <c r="C27" s="37"/>
      <c r="D27" s="38"/>
      <c r="I27" s="50"/>
      <c r="J27" s="29" t="s">
        <v>322</v>
      </c>
      <c r="K27" s="30" t="s">
        <v>322</v>
      </c>
      <c r="L27" s="17">
        <f>L22 - (1/6)*(C24-C7)*(3*L3*(C24-C7)+(C24-C7)*L5*((C24-C7)+3*C7)+6*L10)</f>
        <v>1451857.1428571474</v>
      </c>
      <c r="M27" s="31" t="s">
        <v>305</v>
      </c>
      <c r="N27" s="32" t="s">
        <v>372</v>
      </c>
    </row>
    <row r="28" spans="2:20" ht="15.75" thickBot="1" x14ac:dyDescent="0.3">
      <c r="B28" s="36"/>
      <c r="C28" s="37"/>
      <c r="D28" s="38"/>
      <c r="I28" s="50"/>
      <c r="J28" s="29" t="s">
        <v>323</v>
      </c>
      <c r="K28" s="30" t="s">
        <v>324</v>
      </c>
      <c r="L28" s="17">
        <f>L23-(L11*(C24-(C6+C7)))</f>
        <v>1326857.1428571464</v>
      </c>
      <c r="M28" s="31" t="s">
        <v>305</v>
      </c>
      <c r="N28" s="32" t="s">
        <v>373</v>
      </c>
      <c r="P28" s="1" t="s">
        <v>92</v>
      </c>
      <c r="Q28" s="2" t="s">
        <v>89</v>
      </c>
      <c r="R28" s="24"/>
      <c r="S28" s="2" t="s">
        <v>90</v>
      </c>
      <c r="T28" s="25"/>
    </row>
    <row r="29" spans="2:20" x14ac:dyDescent="0.25">
      <c r="B29" s="36"/>
      <c r="C29" s="37"/>
      <c r="D29" s="38"/>
      <c r="I29" s="50"/>
      <c r="J29" s="29" t="s">
        <v>325</v>
      </c>
      <c r="K29" s="30" t="s">
        <v>326</v>
      </c>
      <c r="L29" s="17">
        <f>L24-(-L12*(C5+C6+C7-C24)-(1/42)*(L6)*(C5+C6+C7-C24)^7)</f>
        <v>1326857.1428571464</v>
      </c>
      <c r="M29" s="31" t="s">
        <v>305</v>
      </c>
      <c r="N29" s="32" t="s">
        <v>374</v>
      </c>
      <c r="P29" s="33"/>
      <c r="Q29" s="34" t="s">
        <v>93</v>
      </c>
      <c r="R29" s="34"/>
      <c r="S29" s="34" t="s">
        <v>80</v>
      </c>
      <c r="T29" s="35"/>
    </row>
    <row r="30" spans="2:20" x14ac:dyDescent="0.25">
      <c r="B30" s="36"/>
      <c r="C30" s="37"/>
      <c r="D30" s="38"/>
      <c r="I30" s="50"/>
      <c r="J30" s="29"/>
      <c r="K30" s="30"/>
      <c r="L30" s="17"/>
      <c r="M30" s="31"/>
      <c r="P30" s="33"/>
      <c r="Q30" s="34" t="s">
        <v>94</v>
      </c>
      <c r="R30" s="34"/>
      <c r="S30" s="34" t="s">
        <v>118</v>
      </c>
      <c r="T30" s="35"/>
    </row>
    <row r="31" spans="2:20" x14ac:dyDescent="0.25">
      <c r="B31" s="36"/>
      <c r="C31" s="37"/>
      <c r="D31" s="38"/>
      <c r="I31" s="50"/>
      <c r="J31" s="29"/>
      <c r="K31" s="30"/>
      <c r="L31" s="17"/>
      <c r="M31" s="31"/>
      <c r="P31" s="33"/>
      <c r="Q31" s="34" t="s">
        <v>95</v>
      </c>
      <c r="R31" s="34"/>
      <c r="S31" s="34" t="s">
        <v>119</v>
      </c>
      <c r="T31" s="35"/>
    </row>
    <row r="32" spans="2:20" x14ac:dyDescent="0.25">
      <c r="B32" s="36"/>
      <c r="C32" s="37"/>
      <c r="D32" s="38"/>
      <c r="I32" s="50"/>
      <c r="J32" s="29" t="s">
        <v>267</v>
      </c>
      <c r="K32" s="30" t="s">
        <v>266</v>
      </c>
      <c r="L32" s="17" cm="1">
        <f t="array" ref="L32">_xlfn.IFS(C24&lt;=C7,L14,C24&lt;=(C6+C7),L15,C24&lt;=(C5+C6+C7),L16,C24&lt;=C3,L17)</f>
        <v>21500</v>
      </c>
      <c r="M32" s="31" t="s">
        <v>166</v>
      </c>
      <c r="N32" s="32" t="s">
        <v>375</v>
      </c>
      <c r="P32" s="33"/>
      <c r="Q32" s="34" t="s">
        <v>96</v>
      </c>
      <c r="R32" s="34"/>
      <c r="S32" s="34" t="s">
        <v>120</v>
      </c>
      <c r="T32" s="35"/>
    </row>
    <row r="33" spans="2:20" x14ac:dyDescent="0.25">
      <c r="B33" s="36"/>
      <c r="C33" s="37"/>
      <c r="D33" s="38"/>
      <c r="I33" s="50"/>
      <c r="J33" s="29" t="s">
        <v>268</v>
      </c>
      <c r="K33" s="30" t="s">
        <v>265</v>
      </c>
      <c r="L33" s="17" cm="1">
        <f t="array" ref="L33">_xlfn.IFS(C24&lt;=C7,L26,C24&lt;=(C6+C7),L27,C24&lt;=(C5+C6+C7),L28,C24&lt;=C3,L29)</f>
        <v>1326857.1428571464</v>
      </c>
      <c r="M33" s="31" t="s">
        <v>204</v>
      </c>
      <c r="N33" s="32" t="s">
        <v>376</v>
      </c>
      <c r="P33" s="33"/>
      <c r="Q33" s="34" t="s">
        <v>97</v>
      </c>
      <c r="R33" s="34"/>
      <c r="S33" s="34" t="s">
        <v>81</v>
      </c>
      <c r="T33" s="35"/>
    </row>
    <row r="34" spans="2:20" x14ac:dyDescent="0.25">
      <c r="B34" s="36"/>
      <c r="C34" s="37"/>
      <c r="D34" s="38"/>
      <c r="I34" s="50"/>
      <c r="J34" s="29" t="s">
        <v>224</v>
      </c>
      <c r="K34" s="30" t="s">
        <v>223</v>
      </c>
      <c r="L34" s="17">
        <f>ABS(L32)</f>
        <v>21500</v>
      </c>
      <c r="M34" s="31" t="s">
        <v>166</v>
      </c>
      <c r="N34" s="32" t="s">
        <v>377</v>
      </c>
      <c r="P34" s="33"/>
      <c r="Q34" s="34" t="s">
        <v>98</v>
      </c>
      <c r="R34" s="34"/>
      <c r="S34" s="34" t="s">
        <v>87</v>
      </c>
      <c r="T34" s="35" t="s">
        <v>139</v>
      </c>
    </row>
    <row r="35" spans="2:20" x14ac:dyDescent="0.25">
      <c r="B35" s="36"/>
      <c r="C35" s="37"/>
      <c r="D35" s="38"/>
      <c r="I35" s="50"/>
      <c r="J35" s="29" t="s">
        <v>263</v>
      </c>
      <c r="K35" s="30" t="s">
        <v>178</v>
      </c>
      <c r="L35" s="17">
        <f>C20 - (2 * C19)</f>
        <v>13.263049270073461</v>
      </c>
      <c r="M35" s="31" t="s">
        <v>172</v>
      </c>
      <c r="N35" s="32" t="s">
        <v>264</v>
      </c>
      <c r="P35" s="33"/>
      <c r="Q35" s="34" t="s">
        <v>99</v>
      </c>
      <c r="R35" s="34"/>
      <c r="S35" s="34" t="s">
        <v>121</v>
      </c>
      <c r="T35" s="35"/>
    </row>
    <row r="36" spans="2:20" x14ac:dyDescent="0.25">
      <c r="B36" s="36"/>
      <c r="C36" s="37"/>
      <c r="D36" s="38"/>
      <c r="I36" s="50"/>
      <c r="J36" s="29" t="s">
        <v>180</v>
      </c>
      <c r="K36" s="30" t="s">
        <v>179</v>
      </c>
      <c r="L36" s="17">
        <f>C21 * C19</f>
        <v>5.9764126844963625</v>
      </c>
      <c r="M36" s="31" t="s">
        <v>182</v>
      </c>
      <c r="N36" s="32" t="s">
        <v>234</v>
      </c>
      <c r="P36" s="33"/>
      <c r="Q36" s="34" t="s">
        <v>100</v>
      </c>
      <c r="R36" s="34"/>
      <c r="S36" s="34" t="s">
        <v>122</v>
      </c>
      <c r="T36" s="35"/>
    </row>
    <row r="37" spans="2:20" ht="15.75" thickBot="1" x14ac:dyDescent="0.3">
      <c r="B37" s="56"/>
      <c r="C37" s="57"/>
      <c r="D37" s="58"/>
      <c r="I37" s="50"/>
      <c r="J37" s="29" t="s">
        <v>239</v>
      </c>
      <c r="K37" s="30" t="s">
        <v>181</v>
      </c>
      <c r="L37" s="17">
        <f>L35 * C18</f>
        <v>33.629426802277379</v>
      </c>
      <c r="M37" s="31" t="s">
        <v>182</v>
      </c>
      <c r="N37" s="32" t="s">
        <v>378</v>
      </c>
      <c r="P37" s="33"/>
      <c r="Q37" s="34" t="s">
        <v>101</v>
      </c>
      <c r="R37" s="34"/>
      <c r="S37" s="34" t="s">
        <v>123</v>
      </c>
      <c r="T37" s="35"/>
    </row>
    <row r="38" spans="2:20" ht="15.75" thickBot="1" x14ac:dyDescent="0.3">
      <c r="I38" s="50"/>
      <c r="J38" s="29" t="s">
        <v>241</v>
      </c>
      <c r="K38" s="30" t="s">
        <v>184</v>
      </c>
      <c r="L38" s="17">
        <f>(2 * L36) + (L37)</f>
        <v>45.582252171270106</v>
      </c>
      <c r="M38" s="31" t="s">
        <v>182</v>
      </c>
      <c r="N38" s="32" t="s">
        <v>379</v>
      </c>
      <c r="P38" s="33"/>
      <c r="Q38" s="34" t="s">
        <v>102</v>
      </c>
      <c r="R38" s="34"/>
      <c r="S38" s="34" t="s">
        <v>124</v>
      </c>
      <c r="T38" s="35" t="s">
        <v>151</v>
      </c>
    </row>
    <row r="39" spans="2:20" ht="15.75" thickBot="1" x14ac:dyDescent="0.3">
      <c r="B39" s="11" t="s">
        <v>209</v>
      </c>
      <c r="C39" s="9" t="s">
        <v>213</v>
      </c>
      <c r="D39" s="12" t="s">
        <v>214</v>
      </c>
      <c r="I39" s="50"/>
      <c r="J39" s="29" t="s">
        <v>185</v>
      </c>
      <c r="K39" s="30" t="s">
        <v>186</v>
      </c>
      <c r="L39" s="17">
        <f>(C18 * (L35 ^ 3)) / 12</f>
        <v>492.97510129481037</v>
      </c>
      <c r="M39" s="31" t="s">
        <v>187</v>
      </c>
      <c r="N39" s="32" t="s">
        <v>380</v>
      </c>
      <c r="P39" s="33"/>
      <c r="Q39" s="34" t="s">
        <v>103</v>
      </c>
      <c r="R39" s="34"/>
      <c r="S39" s="34" t="s">
        <v>125</v>
      </c>
      <c r="T39" s="35"/>
    </row>
    <row r="40" spans="2:20" x14ac:dyDescent="0.25">
      <c r="B40" s="36" t="s">
        <v>210</v>
      </c>
      <c r="C40" s="59" t="s">
        <v>245</v>
      </c>
      <c r="D40" s="60" t="str">
        <f>IF((L58-10)&gt;=L51,"FAIL","PASS")</f>
        <v>PASS</v>
      </c>
      <c r="I40" s="50"/>
      <c r="J40" s="29" t="s">
        <v>189</v>
      </c>
      <c r="K40" s="30" t="s">
        <v>188</v>
      </c>
      <c r="L40" s="17">
        <f>(C21 * (C19 ^ 3)) / 12</f>
        <v>0.12450859759367422</v>
      </c>
      <c r="M40" s="31" t="s">
        <v>187</v>
      </c>
      <c r="N40" s="32" t="s">
        <v>235</v>
      </c>
      <c r="P40" s="33"/>
      <c r="Q40" s="34" t="s">
        <v>104</v>
      </c>
      <c r="R40" s="34"/>
      <c r="S40" s="34" t="s">
        <v>82</v>
      </c>
      <c r="T40" s="35"/>
    </row>
    <row r="41" spans="2:20" x14ac:dyDescent="0.25">
      <c r="B41" s="36" t="s">
        <v>211</v>
      </c>
      <c r="C41" s="59" t="s">
        <v>246</v>
      </c>
      <c r="D41" s="60" t="str">
        <f>IF((L58-10)&gt;=L51,"FAIL","PASS")</f>
        <v>PASS</v>
      </c>
      <c r="I41" s="50"/>
      <c r="J41" s="29" t="s">
        <v>190</v>
      </c>
      <c r="K41" s="30" t="s">
        <v>191</v>
      </c>
      <c r="L41" s="17">
        <f>(L35 + C19) / 2</f>
        <v>6.8815246350367305</v>
      </c>
      <c r="M41" s="31" t="s">
        <v>172</v>
      </c>
      <c r="N41" s="32" t="s">
        <v>381</v>
      </c>
      <c r="P41" s="33"/>
      <c r="Q41" s="34" t="s">
        <v>105</v>
      </c>
      <c r="R41" s="34"/>
      <c r="S41" s="34" t="s">
        <v>126</v>
      </c>
      <c r="T41" s="35"/>
    </row>
    <row r="42" spans="2:20" ht="15.75" thickBot="1" x14ac:dyDescent="0.3">
      <c r="B42" s="56" t="s">
        <v>212</v>
      </c>
      <c r="C42" s="61" t="s">
        <v>247</v>
      </c>
      <c r="D42" s="62" t="str">
        <f>IF((L34-10)&gt;L52,"FAIL","PASS")</f>
        <v>PASS</v>
      </c>
      <c r="I42" s="50"/>
      <c r="J42" s="29" t="s">
        <v>192</v>
      </c>
      <c r="K42" s="30" t="s">
        <v>193</v>
      </c>
      <c r="L42" s="17">
        <f>L40 + (L36 * (L41 ^2))</f>
        <v>283.13981009371821</v>
      </c>
      <c r="M42" s="31" t="s">
        <v>187</v>
      </c>
      <c r="N42" s="32" t="s">
        <v>382</v>
      </c>
      <c r="P42" s="33"/>
      <c r="Q42" s="34" t="s">
        <v>106</v>
      </c>
      <c r="R42" s="34"/>
      <c r="S42" s="34" t="s">
        <v>127</v>
      </c>
      <c r="T42" s="35"/>
    </row>
    <row r="43" spans="2:20" ht="15.75" thickBot="1" x14ac:dyDescent="0.3">
      <c r="I43" s="50"/>
      <c r="J43" s="29" t="s">
        <v>242</v>
      </c>
      <c r="K43" s="30" t="s">
        <v>194</v>
      </c>
      <c r="L43" s="17">
        <f>L39 + (2 * L42)</f>
        <v>1059.2547214822469</v>
      </c>
      <c r="M43" s="31" t="s">
        <v>187</v>
      </c>
      <c r="N43" s="32" t="s">
        <v>383</v>
      </c>
      <c r="P43" s="33"/>
      <c r="Q43" s="34" t="s">
        <v>107</v>
      </c>
      <c r="R43" s="34"/>
      <c r="S43" s="34" t="s">
        <v>128</v>
      </c>
      <c r="T43" s="35"/>
    </row>
    <row r="44" spans="2:20" ht="15.75" thickBot="1" x14ac:dyDescent="0.3">
      <c r="B44" s="63" t="s">
        <v>215</v>
      </c>
      <c r="C44" s="64" t="s">
        <v>183</v>
      </c>
      <c r="D44" s="65">
        <f>L38</f>
        <v>45.582252171270106</v>
      </c>
      <c r="E44" s="66" t="s">
        <v>182</v>
      </c>
      <c r="I44" s="50"/>
      <c r="J44" s="29" t="s">
        <v>195</v>
      </c>
      <c r="K44" s="30" t="s">
        <v>196</v>
      </c>
      <c r="L44" s="17">
        <f>C20 / 2</f>
        <v>7.1315246350367305</v>
      </c>
      <c r="M44" s="31" t="s">
        <v>172</v>
      </c>
      <c r="N44" s="32" t="s">
        <v>236</v>
      </c>
      <c r="P44" s="33"/>
      <c r="Q44" s="34" t="s">
        <v>108</v>
      </c>
      <c r="R44" s="34"/>
      <c r="S44" s="34" t="s">
        <v>84</v>
      </c>
      <c r="T44" s="35" t="s">
        <v>138</v>
      </c>
    </row>
    <row r="45" spans="2:20" ht="15.75" thickBot="1" x14ac:dyDescent="0.3">
      <c r="I45" s="50"/>
      <c r="J45" s="29" t="s">
        <v>225</v>
      </c>
      <c r="K45" s="30" t="s">
        <v>226</v>
      </c>
      <c r="L45" s="17">
        <f>(-L33 * L44) / L43</f>
        <v>-8933.1812354057874</v>
      </c>
      <c r="M45" s="31" t="s">
        <v>174</v>
      </c>
      <c r="N45" s="32" t="s">
        <v>384</v>
      </c>
      <c r="P45" s="33"/>
      <c r="Q45" s="34" t="s">
        <v>109</v>
      </c>
      <c r="R45" s="34"/>
      <c r="S45" s="34" t="s">
        <v>129</v>
      </c>
      <c r="T45" s="35"/>
    </row>
    <row r="46" spans="2:20" ht="15.75" thickBot="1" x14ac:dyDescent="0.3">
      <c r="B46" s="11" t="s">
        <v>220</v>
      </c>
      <c r="C46" s="9" t="s">
        <v>231</v>
      </c>
      <c r="D46" s="9" t="s">
        <v>222</v>
      </c>
      <c r="E46" s="9" t="s">
        <v>249</v>
      </c>
      <c r="F46" s="12" t="s">
        <v>221</v>
      </c>
      <c r="I46" s="50"/>
      <c r="J46" s="29" t="s">
        <v>197</v>
      </c>
      <c r="K46" s="30" t="s">
        <v>201</v>
      </c>
      <c r="L46" s="17">
        <f>(L36 * L41) + (L47 * L48)</f>
        <v>96.880424192874457</v>
      </c>
      <c r="M46" s="31" t="s">
        <v>202</v>
      </c>
      <c r="N46" s="32" t="s">
        <v>385</v>
      </c>
      <c r="P46" s="33"/>
      <c r="Q46" s="34" t="s">
        <v>110</v>
      </c>
      <c r="R46" s="34"/>
      <c r="S46" s="34" t="s">
        <v>130</v>
      </c>
      <c r="T46" s="35"/>
    </row>
    <row r="47" spans="2:20" ht="15.75" thickBot="1" x14ac:dyDescent="0.3">
      <c r="B47" s="56"/>
      <c r="C47" s="61"/>
      <c r="D47" s="61"/>
      <c r="E47" s="61"/>
      <c r="F47" s="58"/>
      <c r="I47" s="50"/>
      <c r="J47" s="29" t="s">
        <v>243</v>
      </c>
      <c r="K47" s="30" t="s">
        <v>198</v>
      </c>
      <c r="L47" s="17">
        <f>(C18 * L35) / 2</f>
        <v>16.81471340113869</v>
      </c>
      <c r="M47" s="31" t="s">
        <v>182</v>
      </c>
      <c r="N47" s="32" t="s">
        <v>386</v>
      </c>
      <c r="P47" s="33"/>
      <c r="Q47" s="34" t="s">
        <v>111</v>
      </c>
      <c r="R47" s="34"/>
      <c r="S47" s="34" t="s">
        <v>131</v>
      </c>
      <c r="T47" s="35"/>
    </row>
    <row r="48" spans="2:20" x14ac:dyDescent="0.25">
      <c r="I48" s="50"/>
      <c r="J48" s="29" t="s">
        <v>199</v>
      </c>
      <c r="K48" s="30" t="s">
        <v>200</v>
      </c>
      <c r="L48" s="17">
        <f>L35 / 4</f>
        <v>3.3157623175183653</v>
      </c>
      <c r="M48" s="31" t="s">
        <v>172</v>
      </c>
      <c r="N48" s="32" t="s">
        <v>387</v>
      </c>
      <c r="P48" s="33"/>
      <c r="Q48" s="34" t="s">
        <v>88</v>
      </c>
      <c r="R48" s="34"/>
      <c r="S48" s="34" t="s">
        <v>85</v>
      </c>
      <c r="T48" s="35" t="s">
        <v>150</v>
      </c>
    </row>
    <row r="49" spans="1:20" ht="15.75" thickBot="1" x14ac:dyDescent="0.3">
      <c r="I49" s="50"/>
      <c r="J49" s="29" t="s">
        <v>227</v>
      </c>
      <c r="K49" s="30" t="s">
        <v>228</v>
      </c>
      <c r="L49" s="17">
        <f>(-L32 * L46) / (L43 * C18)</f>
        <v>-775.52892621036096</v>
      </c>
      <c r="M49" s="31" t="s">
        <v>174</v>
      </c>
      <c r="N49" s="32" t="s">
        <v>388</v>
      </c>
      <c r="P49" s="33"/>
      <c r="Q49" s="34" t="s">
        <v>112</v>
      </c>
      <c r="R49" s="34"/>
      <c r="S49" s="34" t="s">
        <v>132</v>
      </c>
      <c r="T49" s="35"/>
    </row>
    <row r="50" spans="1:20" x14ac:dyDescent="0.25">
      <c r="C50" s="67" t="s">
        <v>255</v>
      </c>
      <c r="D50" s="14">
        <f>(E80+E110+E140+E170+E200)/C3</f>
        <v>94.836197486468933</v>
      </c>
      <c r="I50" s="50"/>
      <c r="J50" s="29" t="s">
        <v>244</v>
      </c>
      <c r="K50" s="30" t="s">
        <v>207</v>
      </c>
      <c r="L50" s="17">
        <f>((PI() ^ 2) * C17 * L53) / ((L3 * C16) ^ 2)</f>
        <v>85999.999999999985</v>
      </c>
      <c r="M50" s="31" t="s">
        <v>208</v>
      </c>
      <c r="N50" s="32" t="s">
        <v>389</v>
      </c>
      <c r="P50" s="33"/>
      <c r="Q50" s="34" t="s">
        <v>113</v>
      </c>
      <c r="R50" s="34"/>
      <c r="S50" s="34" t="s">
        <v>133</v>
      </c>
      <c r="T50" s="35"/>
    </row>
    <row r="51" spans="1:20" x14ac:dyDescent="0.25">
      <c r="C51" s="68" t="s">
        <v>256</v>
      </c>
      <c r="D51" s="15">
        <f>(E80+E110+E140+E170+E200)</f>
        <v>22760.687396752543</v>
      </c>
      <c r="I51" s="50"/>
      <c r="J51" s="29" t="s">
        <v>206</v>
      </c>
      <c r="K51" s="30" t="s">
        <v>205</v>
      </c>
      <c r="L51" s="17">
        <f>C15 / C12</f>
        <v>9000</v>
      </c>
      <c r="M51" s="31" t="s">
        <v>174</v>
      </c>
      <c r="N51" s="32" t="s">
        <v>237</v>
      </c>
      <c r="P51" s="33"/>
      <c r="Q51" s="34" t="s">
        <v>114</v>
      </c>
      <c r="R51" s="34"/>
      <c r="S51" s="34" t="s">
        <v>134</v>
      </c>
      <c r="T51" s="35"/>
    </row>
    <row r="52" spans="1:20" ht="15.75" thickBot="1" x14ac:dyDescent="0.3">
      <c r="C52" s="69" t="s">
        <v>262</v>
      </c>
      <c r="D52" s="16">
        <f>D51*C25</f>
        <v>6464.0352206777216</v>
      </c>
      <c r="I52" s="50"/>
      <c r="J52" s="29" t="s">
        <v>217</v>
      </c>
      <c r="K52" s="30" t="s">
        <v>216</v>
      </c>
      <c r="L52" s="17">
        <f>L50 / C12</f>
        <v>21499.999999999996</v>
      </c>
      <c r="M52" s="31" t="s">
        <v>208</v>
      </c>
      <c r="N52" s="32" t="s">
        <v>390</v>
      </c>
      <c r="P52" s="33"/>
      <c r="Q52" s="34" t="s">
        <v>115</v>
      </c>
      <c r="R52" s="34"/>
      <c r="S52" s="34" t="s">
        <v>135</v>
      </c>
      <c r="T52" s="35"/>
    </row>
    <row r="53" spans="1:20" x14ac:dyDescent="0.25">
      <c r="H53" s="50"/>
      <c r="I53" s="50"/>
      <c r="J53" s="29" t="s">
        <v>218</v>
      </c>
      <c r="K53" s="30" t="s">
        <v>219</v>
      </c>
      <c r="L53" s="17">
        <f>(C3 * (C18 ^ 3)) / 12</f>
        <v>326.03050890658852</v>
      </c>
      <c r="M53" s="31" t="s">
        <v>187</v>
      </c>
      <c r="N53" s="32" t="s">
        <v>238</v>
      </c>
      <c r="P53" s="33"/>
      <c r="Q53" s="34" t="s">
        <v>116</v>
      </c>
      <c r="R53" s="34"/>
      <c r="S53" s="34" t="s">
        <v>136</v>
      </c>
      <c r="T53" s="35"/>
    </row>
    <row r="54" spans="1:20" ht="15.75" thickBot="1" x14ac:dyDescent="0.3">
      <c r="A54" s="90" t="s">
        <v>335</v>
      </c>
      <c r="B54">
        <v>60</v>
      </c>
      <c r="C54">
        <f>C18</f>
        <v>2.5355727870330917</v>
      </c>
      <c r="D54">
        <f>C19</f>
        <v>0.5</v>
      </c>
      <c r="E54">
        <f>C20</f>
        <v>14.263049270073461</v>
      </c>
      <c r="F54">
        <f>C21</f>
        <v>11.952825368992725</v>
      </c>
      <c r="G54">
        <f>D44</f>
        <v>45.582252171270106</v>
      </c>
      <c r="H54" s="50">
        <f>((C54 * ((E54 - (2 * D54)) ^ 3)) / 12) + (2 * (((F54 * (D54 ^ 3)) / 12) + ((F54 * D54) * ((((E54 - (2 * D54)) + D54) / 2) ^ 2)))) / (E54 / 2)</f>
        <v>572.38022841241718</v>
      </c>
      <c r="I54" s="50"/>
      <c r="J54" s="29" t="s">
        <v>232</v>
      </c>
      <c r="K54" s="30" t="s">
        <v>233</v>
      </c>
      <c r="L54" s="17">
        <f>L43/L44</f>
        <v>148.53131352560928</v>
      </c>
      <c r="M54" s="31" t="s">
        <v>202</v>
      </c>
      <c r="N54" s="32" t="s">
        <v>391</v>
      </c>
      <c r="P54" s="53"/>
      <c r="Q54" s="54" t="s">
        <v>117</v>
      </c>
      <c r="R54" s="54"/>
      <c r="S54" s="54" t="s">
        <v>137</v>
      </c>
      <c r="T54" s="55"/>
    </row>
    <row r="55" spans="1:20" ht="15.75" thickBot="1" x14ac:dyDescent="0.3">
      <c r="B55" s="21" t="s">
        <v>338</v>
      </c>
      <c r="C55" s="22" t="s">
        <v>339</v>
      </c>
      <c r="D55" s="22" t="s">
        <v>340</v>
      </c>
      <c r="E55" s="22" t="s">
        <v>341</v>
      </c>
      <c r="F55" s="22" t="s">
        <v>342</v>
      </c>
      <c r="G55" s="22"/>
      <c r="H55" s="20"/>
      <c r="I55" s="50"/>
      <c r="J55" s="29" t="s">
        <v>404</v>
      </c>
      <c r="K55" s="30" t="s">
        <v>405</v>
      </c>
      <c r="L55" s="17">
        <f>C26/C12</f>
        <v>5000</v>
      </c>
      <c r="M55" s="31" t="s">
        <v>174</v>
      </c>
      <c r="N55" s="32" t="s">
        <v>407</v>
      </c>
    </row>
    <row r="56" spans="1:20" ht="15.75" thickBot="1" x14ac:dyDescent="0.3">
      <c r="B56" s="89">
        <v>1</v>
      </c>
      <c r="C56" s="110">
        <v>60</v>
      </c>
      <c r="D56" s="110">
        <v>0</v>
      </c>
      <c r="E56" s="110">
        <f>D56+C56</f>
        <v>60</v>
      </c>
      <c r="F56" s="111">
        <f>ROUND(C56/10,0)</f>
        <v>6</v>
      </c>
      <c r="G56" s="108"/>
      <c r="H56" s="109"/>
      <c r="I56" s="50"/>
      <c r="J56" s="29"/>
      <c r="K56" s="30"/>
      <c r="L56" s="17"/>
      <c r="M56" s="31"/>
      <c r="P56" s="1" t="s">
        <v>140</v>
      </c>
      <c r="Q56" s="24"/>
      <c r="R56" s="24"/>
      <c r="S56" s="24"/>
      <c r="T56" s="25"/>
    </row>
    <row r="57" spans="1:20" ht="15.75" thickBot="1" x14ac:dyDescent="0.3">
      <c r="I57" s="50"/>
      <c r="J57" s="29"/>
      <c r="K57" s="30"/>
      <c r="L57" s="17"/>
      <c r="M57" s="31"/>
      <c r="P57" s="33"/>
      <c r="Q57" s="34" t="s">
        <v>141</v>
      </c>
      <c r="R57" s="34" t="s">
        <v>142</v>
      </c>
      <c r="S57" s="34"/>
      <c r="T57" s="35"/>
    </row>
    <row r="58" spans="1:20" ht="15.75" thickBot="1" x14ac:dyDescent="0.3">
      <c r="B58" s="21" t="s">
        <v>328</v>
      </c>
      <c r="C58" s="22" t="s">
        <v>329</v>
      </c>
      <c r="D58" s="22" t="s">
        <v>330</v>
      </c>
      <c r="E58" s="22" t="s">
        <v>331</v>
      </c>
      <c r="F58" s="22" t="s">
        <v>332</v>
      </c>
      <c r="G58" s="22" t="s">
        <v>333</v>
      </c>
      <c r="H58" s="20" t="s">
        <v>334</v>
      </c>
      <c r="I58" s="50"/>
      <c r="J58" s="29" t="s">
        <v>402</v>
      </c>
      <c r="K58" s="30" t="s">
        <v>401</v>
      </c>
      <c r="L58" s="17">
        <f>ABS((L45 / 2) + ((L45 / 2) ^ 2 + (L49 ^ 2)) ^ 0.5)</f>
        <v>66.827172611662718</v>
      </c>
      <c r="M58" s="31" t="s">
        <v>174</v>
      </c>
      <c r="N58" t="s">
        <v>392</v>
      </c>
      <c r="P58" s="33"/>
      <c r="Q58" s="34" t="s">
        <v>146</v>
      </c>
      <c r="R58" s="34" t="s">
        <v>147</v>
      </c>
      <c r="S58" s="34"/>
      <c r="T58" s="35"/>
    </row>
    <row r="59" spans="1:20" x14ac:dyDescent="0.25">
      <c r="B59" s="88">
        <f>A59*F56</f>
        <v>0</v>
      </c>
      <c r="C59" s="97">
        <v>4.2535539234978206</v>
      </c>
      <c r="D59" s="97">
        <v>0.5</v>
      </c>
      <c r="E59" s="97">
        <v>35.438795425786466</v>
      </c>
      <c r="F59" s="98">
        <v>49.29333410854484</v>
      </c>
      <c r="G59" s="97">
        <v>195.78060751243765</v>
      </c>
      <c r="H59" s="99">
        <v>15327.232783206449</v>
      </c>
      <c r="I59" s="50"/>
      <c r="J59" s="29" t="s">
        <v>403</v>
      </c>
      <c r="K59" s="30" t="s">
        <v>400</v>
      </c>
      <c r="L59" s="17">
        <f>ABS((L45 / 2) - ((L45 / 2) ^ 2 + (L49 ^ 2)) ^ 0.5)</f>
        <v>9000.0084080174493</v>
      </c>
      <c r="M59" s="31" t="s">
        <v>174</v>
      </c>
      <c r="N59" t="s">
        <v>393</v>
      </c>
      <c r="P59" s="33"/>
      <c r="Q59" s="34" t="s">
        <v>148</v>
      </c>
      <c r="R59" s="34" t="s">
        <v>149</v>
      </c>
      <c r="S59" s="34"/>
      <c r="T59" s="35"/>
    </row>
    <row r="60" spans="1:20" x14ac:dyDescent="0.25">
      <c r="B60" s="70">
        <f>1*F56</f>
        <v>6</v>
      </c>
      <c r="C60" s="91">
        <v>4.2535539234978206</v>
      </c>
      <c r="D60" s="91">
        <v>0.5</v>
      </c>
      <c r="E60" s="91">
        <v>34.763528435805235</v>
      </c>
      <c r="F60" s="91">
        <v>48.175235256850918</v>
      </c>
      <c r="G60" s="91">
        <v>191.79022410610051</v>
      </c>
      <c r="H60" s="92">
        <v>14456.648873776068</v>
      </c>
      <c r="I60" s="50"/>
      <c r="J60" s="29" t="s">
        <v>229</v>
      </c>
      <c r="K60" s="30" t="s">
        <v>203</v>
      </c>
      <c r="L60" s="17">
        <f>ABS(((L45/2)^2+(L49^2))^0.5)</f>
        <v>4533.4177903145564</v>
      </c>
      <c r="M60" s="31" t="s">
        <v>174</v>
      </c>
      <c r="N60" t="s">
        <v>394</v>
      </c>
      <c r="P60" s="33"/>
      <c r="Q60" s="34" t="s">
        <v>160</v>
      </c>
      <c r="R60" s="34" t="s">
        <v>161</v>
      </c>
      <c r="S60" s="34"/>
      <c r="T60" s="35"/>
    </row>
    <row r="61" spans="1:20" x14ac:dyDescent="0.25">
      <c r="B61" s="70">
        <v>12</v>
      </c>
      <c r="C61" s="91">
        <v>4.2535539234978197</v>
      </c>
      <c r="D61" s="91">
        <v>0.5</v>
      </c>
      <c r="E61" s="91">
        <v>34.047362624143645</v>
      </c>
      <c r="F61" s="91">
        <v>47.145570809263397</v>
      </c>
      <c r="G61" s="91">
        <v>187.71430976044482</v>
      </c>
      <c r="H61" s="92">
        <v>13572.505882517091</v>
      </c>
      <c r="I61" s="50"/>
      <c r="J61" s="29"/>
      <c r="K61" s="30"/>
      <c r="L61" s="17"/>
      <c r="M61" s="31"/>
      <c r="P61" s="33"/>
      <c r="Q61" s="34"/>
      <c r="R61" s="34"/>
      <c r="S61" s="34"/>
      <c r="T61" s="35"/>
    </row>
    <row r="62" spans="1:20" x14ac:dyDescent="0.25">
      <c r="B62" s="70">
        <v>18</v>
      </c>
      <c r="C62" s="91">
        <v>4.2535539234978206</v>
      </c>
      <c r="D62" s="91">
        <v>0.5</v>
      </c>
      <c r="E62" s="91">
        <v>33.313594699341863</v>
      </c>
      <c r="F62" s="91">
        <v>46.099559116747706</v>
      </c>
      <c r="G62" s="91">
        <v>183.54717663245168</v>
      </c>
      <c r="H62" s="92">
        <v>12704.923468438166</v>
      </c>
      <c r="I62" s="50"/>
      <c r="J62" s="29"/>
      <c r="K62" s="30"/>
      <c r="L62" s="17"/>
      <c r="M62" s="31"/>
      <c r="P62" s="33"/>
      <c r="Q62" s="34"/>
      <c r="R62" s="34"/>
      <c r="S62" s="34"/>
      <c r="T62" s="35"/>
    </row>
    <row r="63" spans="1:20" x14ac:dyDescent="0.25">
      <c r="B63" s="70">
        <v>24</v>
      </c>
      <c r="C63" s="91">
        <v>4.2535539234978197</v>
      </c>
      <c r="D63" s="91">
        <v>0.5</v>
      </c>
      <c r="E63" s="91">
        <v>32.565404248044288</v>
      </c>
      <c r="F63" s="91">
        <v>45.017248276489198</v>
      </c>
      <c r="G63" s="91">
        <v>179.28239736255273</v>
      </c>
      <c r="H63" s="92">
        <v>11858.924524770069</v>
      </c>
      <c r="I63" s="50"/>
      <c r="J63" s="29"/>
      <c r="K63" s="30"/>
      <c r="L63" s="17"/>
      <c r="M63" s="31"/>
      <c r="P63" s="33"/>
      <c r="Q63" s="34"/>
      <c r="R63" s="34"/>
      <c r="S63" s="34"/>
      <c r="T63" s="35"/>
    </row>
    <row r="64" spans="1:20" x14ac:dyDescent="0.25">
      <c r="B64" s="70">
        <v>30</v>
      </c>
      <c r="C64" s="91">
        <v>4.2535539234978206</v>
      </c>
      <c r="D64" s="91">
        <v>0.5</v>
      </c>
      <c r="E64" s="91">
        <v>31.796853462572038</v>
      </c>
      <c r="F64" s="91">
        <v>43.916715093156242</v>
      </c>
      <c r="G64" s="91">
        <v>174.91279197026699</v>
      </c>
      <c r="H64" s="92">
        <v>11030.039274516692</v>
      </c>
      <c r="I64" s="50"/>
      <c r="J64" s="29"/>
      <c r="K64" s="30"/>
      <c r="L64" s="17"/>
      <c r="M64" s="31"/>
      <c r="P64" s="33"/>
      <c r="Q64" s="34"/>
      <c r="R64" s="34"/>
      <c r="S64" s="34"/>
      <c r="T64" s="35"/>
    </row>
    <row r="65" spans="2:20" x14ac:dyDescent="0.25">
      <c r="B65" s="70">
        <v>36</v>
      </c>
      <c r="C65" s="91">
        <v>4.2535539234978206</v>
      </c>
      <c r="D65" s="91">
        <v>0.5</v>
      </c>
      <c r="E65" s="91">
        <v>31.013466611038801</v>
      </c>
      <c r="F65" s="93">
        <v>42.766247592931002</v>
      </c>
      <c r="G65" s="91">
        <v>170.43014625408605</v>
      </c>
      <c r="H65" s="92">
        <v>10225.401827567219</v>
      </c>
      <c r="I65" s="50"/>
      <c r="J65" s="29"/>
      <c r="K65" s="30"/>
      <c r="L65" s="17"/>
      <c r="M65" s="31"/>
      <c r="P65" s="33"/>
      <c r="Q65" s="34"/>
      <c r="R65" s="34"/>
      <c r="S65" s="34"/>
      <c r="T65" s="35"/>
    </row>
    <row r="66" spans="2:20" ht="15.75" thickBot="1" x14ac:dyDescent="0.3">
      <c r="B66" s="70">
        <v>42</v>
      </c>
      <c r="C66" s="91">
        <v>4.2535539234978206</v>
      </c>
      <c r="D66" s="91">
        <v>0.5</v>
      </c>
      <c r="E66" s="91">
        <v>30.192114429523002</v>
      </c>
      <c r="F66" s="93">
        <v>41.654951244941046</v>
      </c>
      <c r="G66" s="91">
        <v>165.82518411183594</v>
      </c>
      <c r="H66" s="92">
        <v>9426.1723730655904</v>
      </c>
      <c r="I66" s="50"/>
      <c r="J66" s="72"/>
      <c r="K66" s="73"/>
      <c r="L66" s="18"/>
      <c r="M66" s="74"/>
      <c r="P66" s="33"/>
      <c r="Q66" s="34"/>
      <c r="R66" s="34"/>
      <c r="S66" s="34"/>
      <c r="T66" s="35"/>
    </row>
    <row r="67" spans="2:20" x14ac:dyDescent="0.25">
      <c r="B67" s="70">
        <v>48</v>
      </c>
      <c r="C67" s="91">
        <v>4.2535539234978206</v>
      </c>
      <c r="D67" s="91">
        <v>0.5</v>
      </c>
      <c r="E67" s="91">
        <v>29.361048949078398</v>
      </c>
      <c r="F67" s="93">
        <v>40.452189237218697</v>
      </c>
      <c r="G67" s="91">
        <v>161.08744026908505</v>
      </c>
      <c r="H67" s="92">
        <v>8659.9341589838295</v>
      </c>
    </row>
    <row r="68" spans="2:20" x14ac:dyDescent="0.25">
      <c r="B68" s="70">
        <v>54</v>
      </c>
      <c r="C68" s="91">
        <v>4.2535539234978206</v>
      </c>
      <c r="D68" s="91">
        <v>0.5</v>
      </c>
      <c r="E68" s="91">
        <v>28.489299342443754</v>
      </c>
      <c r="F68" s="93">
        <v>39.27752051769059</v>
      </c>
      <c r="G68" s="91">
        <v>156.20473758994828</v>
      </c>
      <c r="H68" s="92">
        <v>7903.2026558080224</v>
      </c>
    </row>
    <row r="69" spans="2:20" ht="15.75" thickBot="1" x14ac:dyDescent="0.3">
      <c r="B69" s="71">
        <v>60</v>
      </c>
      <c r="C69" s="94">
        <v>4.2535539234978206</v>
      </c>
      <c r="D69" s="94">
        <v>0.5</v>
      </c>
      <c r="E69" s="94">
        <v>27.638918720724298</v>
      </c>
      <c r="F69" s="95">
        <v>37.852578012315497</v>
      </c>
      <c r="G69" s="94">
        <v>151.16265525459167</v>
      </c>
      <c r="H69" s="96">
        <v>7205.1087701534379</v>
      </c>
    </row>
    <row r="70" spans="2:20" ht="15.75" thickBot="1" x14ac:dyDescent="0.3">
      <c r="D70" s="75"/>
      <c r="E70" s="75"/>
      <c r="F70" s="75"/>
      <c r="G70" s="75"/>
      <c r="H70" s="75"/>
    </row>
    <row r="71" spans="2:20" ht="15.75" thickBot="1" x14ac:dyDescent="0.3">
      <c r="B71" s="13" t="s">
        <v>395</v>
      </c>
      <c r="C71" s="8" t="s">
        <v>250</v>
      </c>
      <c r="D71" s="104" t="s">
        <v>93</v>
      </c>
      <c r="E71" s="104" t="s">
        <v>94</v>
      </c>
      <c r="F71" s="104" t="s">
        <v>95</v>
      </c>
      <c r="G71" s="104" t="s">
        <v>96</v>
      </c>
      <c r="H71" s="10" t="s">
        <v>251</v>
      </c>
    </row>
    <row r="72" spans="2:20" x14ac:dyDescent="0.25">
      <c r="B72" s="105" t="s">
        <v>252</v>
      </c>
      <c r="C72" s="76" t="s">
        <v>259</v>
      </c>
      <c r="D72" s="77" cm="1">
        <f t="array" ref="D72:G72">LINEST(C59:C69,B59:B69^{1,2,3})</f>
        <v>-2.8754805092596691E-20</v>
      </c>
      <c r="E72" s="77">
        <v>2.8754805092596702E-18</v>
      </c>
      <c r="F72" s="77">
        <v>-7.108187818889906E-17</v>
      </c>
      <c r="G72" s="77">
        <v>4.2535539234978197</v>
      </c>
      <c r="H72" s="78">
        <v>1</v>
      </c>
    </row>
    <row r="73" spans="2:20" x14ac:dyDescent="0.25">
      <c r="B73" s="106" t="s">
        <v>253</v>
      </c>
      <c r="C73" s="79" t="s">
        <v>259</v>
      </c>
      <c r="D73" s="83" cm="1">
        <f t="array" ref="D73:G73">LINEST(D59:D69,B59:B69^{1,2,3})</f>
        <v>0</v>
      </c>
      <c r="E73" s="80">
        <v>0</v>
      </c>
      <c r="F73" s="80">
        <v>0</v>
      </c>
      <c r="G73" s="80">
        <v>0.5</v>
      </c>
      <c r="H73" s="81">
        <f>IFERROR(RSQ(D59:D69,B59:B69),1)</f>
        <v>1</v>
      </c>
    </row>
    <row r="74" spans="2:20" x14ac:dyDescent="0.25">
      <c r="B74" s="106" t="s">
        <v>257</v>
      </c>
      <c r="C74" s="79" t="s">
        <v>259</v>
      </c>
      <c r="D74" s="83" cm="1">
        <f t="array" ref="D74:G74">LINEST(E59:E69,B59:B69^{1,2,3})</f>
        <v>2.420459794255962E-7</v>
      </c>
      <c r="E74" s="102">
        <v>-3.111638272419325E-4</v>
      </c>
      <c r="F74" s="80">
        <v>-0.11236628105930019</v>
      </c>
      <c r="G74" s="80">
        <v>35.441439772789764</v>
      </c>
      <c r="H74" s="81">
        <f>IFERROR(RSQ(E59:E69,B59:B69),1)</f>
        <v>0.99860788303980574</v>
      </c>
    </row>
    <row r="75" spans="2:20" x14ac:dyDescent="0.25">
      <c r="B75" s="106" t="s">
        <v>254</v>
      </c>
      <c r="C75" s="82" t="s">
        <v>259</v>
      </c>
      <c r="D75" s="80" cm="1">
        <f t="array" ref="D75:G75">LINEST(F59:F69,B59:B69^{1,2,3})</f>
        <v>-7.9516759884878988E-6</v>
      </c>
      <c r="E75" s="102">
        <v>3.4533811192413244E-4</v>
      </c>
      <c r="F75" s="80">
        <v>-0.18205684360506766</v>
      </c>
      <c r="G75" s="80">
        <v>49.285376955948266</v>
      </c>
      <c r="H75" s="81">
        <f>IFERROR(RSQ(E59:E69,B59:B69),1)</f>
        <v>0.99860788303980574</v>
      </c>
    </row>
    <row r="76" spans="2:20" x14ac:dyDescent="0.25">
      <c r="B76" s="106" t="s">
        <v>327</v>
      </c>
      <c r="C76" s="84" t="s">
        <v>259</v>
      </c>
      <c r="D76" s="103" cm="1">
        <f t="array" ref="D76:G76">LINEST(G59:G69,B59:B69^{1,2,3})</f>
        <v>-6.922120363045725E-6</v>
      </c>
      <c r="E76" s="80">
        <v>-9.7821400629058896E-4</v>
      </c>
      <c r="F76" s="80">
        <v>-0.66001287927372632</v>
      </c>
      <c r="G76" s="80">
        <v>195.78389823241207</v>
      </c>
      <c r="H76" s="81">
        <f>IFERROR(RSQ(D59:F69,B59:F69),1)</f>
        <v>1</v>
      </c>
    </row>
    <row r="77" spans="2:20" ht="15.75" thickBot="1" x14ac:dyDescent="0.3">
      <c r="B77" s="107" t="s">
        <v>258</v>
      </c>
      <c r="C77" s="85" t="s">
        <v>259</v>
      </c>
      <c r="D77" s="86" cm="1">
        <f t="array" ref="D77:G77">LINEST(H59:H69,B59:B69^{1,2,3})</f>
        <v>1.8113181209881181E-3</v>
      </c>
      <c r="E77" s="86">
        <v>9.8114737123789569E-2</v>
      </c>
      <c r="F77" s="86">
        <v>-147.92774943585025</v>
      </c>
      <c r="G77" s="86">
        <v>15331.169671803988</v>
      </c>
      <c r="H77" s="87">
        <f>IFERROR(RSQ(G59:G69,B59:B69),1)</f>
        <v>0.99868712405285343</v>
      </c>
    </row>
    <row r="78" spans="2:20" ht="15.75" thickBot="1" x14ac:dyDescent="0.3">
      <c r="D78" s="75"/>
      <c r="E78" s="75"/>
      <c r="F78" s="75"/>
      <c r="G78" s="75"/>
      <c r="H78" s="75"/>
    </row>
    <row r="79" spans="2:20" ht="15.75" thickBot="1" x14ac:dyDescent="0.3">
      <c r="B79" s="21"/>
      <c r="C79" s="9" t="s">
        <v>250</v>
      </c>
      <c r="D79" s="22" t="s">
        <v>337</v>
      </c>
      <c r="E79" s="22" t="s">
        <v>336</v>
      </c>
      <c r="F79" s="22" t="s">
        <v>262</v>
      </c>
      <c r="G79" s="22"/>
      <c r="H79" s="20"/>
    </row>
    <row r="80" spans="2:20" ht="15.75" thickBot="1" x14ac:dyDescent="0.3">
      <c r="B80" s="89"/>
      <c r="C80" s="64" t="s">
        <v>259</v>
      </c>
      <c r="D80" s="100">
        <f>E80/C56</f>
        <v>174.43586054704704</v>
      </c>
      <c r="E80" s="100">
        <f>(1 / 4) * (C56 ^ 4) * (((-2)*(D73)*(G72)) + ((D74)*(G72)) - ((2)*(D72)*(G73))+((D72)*(G74))-((2)*(E73)*(F72))+((E74)*(F72))-((2)*(E72)*(F73))+((E72)*(F74)))+(1 / 5) * (C56 ^ 5) * (((-2)*(D73)*(F72))+((D74)*(F72))+((-2)*(D72)*(F73))+((D72)*(F74))+((E72)*((E74)-((2)*(E73)))))+((1/6)*(C56^6))*(((-2)*(D73)*(E72))+((D74)*(E72))+((D72)*((E74)-((2)*(E73)))))+((1/7)*(D72)*((D74)-((2)*(D73)))*(C56^7))+(1/3)*(C56^3)*(((-2)*(E73)*(G72))+((E74)*(G72))-((2)*(E72)*(G73))+((E72)*(G74))+((F72)*((F74)-((2)*(F73)))))+(1/2)*(C56^2)*(((-2)*(F73)*(G72))+((F74)*(G72))+((F72)*((G74)-((2)*(G73)))))-((G72)*(((2)*(G73))-(G74))*(C56))+(1/2)*(C56^4)*(((D75)*(G73))+((D73)*(G75))+((E75)*(F73))+((E73)*(F75)))+(2/5)*(C56^5)*(((D75)*(F73))+((D73)*(F75))+((E73)*(E75)))+(1/3)*(C56^6)*(((D75)*(E73))+((D73)*(E75)))+(2/7)*(C56^7)*(D73)*(D75)+(2/3)*(C56^3)*(((E75)*(G73))+((E73)*(G75))+((F73)*(F75)))+(C56^2)*(((F75)*(G73))+((F73)*(G75)))+(2)*(G73)*(G75)*(C56)</f>
        <v>10466.151632822823</v>
      </c>
      <c r="F80" s="100">
        <f>E80*C25</f>
        <v>2972.3870637216814</v>
      </c>
      <c r="G80" s="100"/>
      <c r="H80" s="101"/>
    </row>
    <row r="82" spans="2:8" x14ac:dyDescent="0.25">
      <c r="D82" s="75"/>
      <c r="E82" s="75"/>
      <c r="F82" s="75"/>
      <c r="G82" s="75"/>
      <c r="H82" s="75"/>
    </row>
    <row r="84" spans="2:8" ht="15.75" thickBot="1" x14ac:dyDescent="0.3">
      <c r="B84" s="116">
        <f>D86+100</f>
        <v>160</v>
      </c>
      <c r="C84">
        <f>C18</f>
        <v>2.5355727870330917</v>
      </c>
      <c r="D84">
        <f>C19</f>
        <v>0.5</v>
      </c>
      <c r="E84">
        <f>C20</f>
        <v>14.263049270073461</v>
      </c>
      <c r="F84">
        <f>C21</f>
        <v>11.952825368992725</v>
      </c>
      <c r="G84">
        <f>D44</f>
        <v>45.582252171270106</v>
      </c>
      <c r="H84" s="50">
        <f>((C54 * ((E54 - (2 * D54)) ^ 3)) / 12) + (2 * (((F54 * (D54 ^ 3)) / 12) + ((F54 * D54) * ((((E54 - (2 * D54)) + D54) / 2) ^ 2)))) / (E54 / 2)</f>
        <v>572.38022841241718</v>
      </c>
    </row>
    <row r="85" spans="2:8" ht="15.75" thickBot="1" x14ac:dyDescent="0.3">
      <c r="B85" s="21" t="s">
        <v>338</v>
      </c>
      <c r="C85" s="22" t="s">
        <v>339</v>
      </c>
      <c r="D85" s="22" t="s">
        <v>340</v>
      </c>
      <c r="E85" s="22" t="s">
        <v>341</v>
      </c>
      <c r="F85" s="22" t="s">
        <v>342</v>
      </c>
      <c r="G85" s="22"/>
      <c r="H85" s="20"/>
    </row>
    <row r="86" spans="2:8" ht="15.75" thickBot="1" x14ac:dyDescent="0.3">
      <c r="B86" s="89">
        <v>2</v>
      </c>
      <c r="C86" s="110">
        <v>96</v>
      </c>
      <c r="D86" s="110">
        <v>60</v>
      </c>
      <c r="E86" s="110">
        <f>D86+C86</f>
        <v>156</v>
      </c>
      <c r="F86" s="111">
        <f>ROUND(C86/10,0)</f>
        <v>10</v>
      </c>
      <c r="G86" s="108"/>
      <c r="H86" s="109"/>
    </row>
    <row r="87" spans="2:8" ht="15.75" thickBot="1" x14ac:dyDescent="0.3"/>
    <row r="88" spans="2:8" ht="15.75" thickBot="1" x14ac:dyDescent="0.3">
      <c r="B88" s="13" t="s">
        <v>345</v>
      </c>
      <c r="C88" s="104" t="s">
        <v>329</v>
      </c>
      <c r="D88" s="104" t="s">
        <v>330</v>
      </c>
      <c r="E88" s="104" t="s">
        <v>331</v>
      </c>
      <c r="F88" s="104" t="s">
        <v>332</v>
      </c>
      <c r="G88" s="104" t="s">
        <v>333</v>
      </c>
      <c r="H88" s="10" t="s">
        <v>334</v>
      </c>
    </row>
    <row r="89" spans="2:8" x14ac:dyDescent="0.25">
      <c r="B89" s="88">
        <v>0</v>
      </c>
      <c r="C89" s="97">
        <v>4.2535539234978206</v>
      </c>
      <c r="D89" s="97">
        <v>0.5</v>
      </c>
      <c r="E89" s="97">
        <v>27.638918720724252</v>
      </c>
      <c r="F89" s="97">
        <v>37.852578012315483</v>
      </c>
      <c r="G89" s="97">
        <v>151.16265525459167</v>
      </c>
      <c r="H89" s="99">
        <v>7205.1087701534379</v>
      </c>
    </row>
    <row r="90" spans="2:8" x14ac:dyDescent="0.25">
      <c r="B90" s="70">
        <v>10</v>
      </c>
      <c r="C90" s="91">
        <v>4.2413933411552769</v>
      </c>
      <c r="D90" s="91">
        <v>0.5</v>
      </c>
      <c r="E90" s="91">
        <v>26.124323775676739</v>
      </c>
      <c r="F90" s="91">
        <v>35.599853701853505</v>
      </c>
      <c r="G90" s="91">
        <v>142.16199326503803</v>
      </c>
      <c r="H90" s="92">
        <v>6052.8877994779941</v>
      </c>
    </row>
    <row r="91" spans="2:8" x14ac:dyDescent="0.25">
      <c r="B91" s="70">
        <v>20</v>
      </c>
      <c r="C91" s="91">
        <v>4.2044866833184438</v>
      </c>
      <c r="D91" s="91">
        <v>0.5</v>
      </c>
      <c r="E91" s="91">
        <v>24.603602700553889</v>
      </c>
      <c r="F91" s="91">
        <v>33.097386793442404</v>
      </c>
      <c r="G91" s="91">
        <v>132.33842002626048</v>
      </c>
      <c r="H91" s="92">
        <v>4998.3465586593338</v>
      </c>
    </row>
    <row r="92" spans="2:8" x14ac:dyDescent="0.25">
      <c r="B92" s="70">
        <v>30</v>
      </c>
      <c r="C92" s="91">
        <v>4.1414950393108798</v>
      </c>
      <c r="D92" s="91">
        <v>0.5</v>
      </c>
      <c r="E92" s="91">
        <v>23.053395487866819</v>
      </c>
      <c r="F92" s="91">
        <v>30.497241226716827</v>
      </c>
      <c r="G92" s="91">
        <v>121.83126923967819</v>
      </c>
      <c r="H92" s="92">
        <v>4038.2135318429459</v>
      </c>
    </row>
    <row r="93" spans="2:8" x14ac:dyDescent="0.25">
      <c r="B93" s="70">
        <v>40</v>
      </c>
      <c r="C93" s="91">
        <v>4.0499499687890133</v>
      </c>
      <c r="D93" s="91">
        <v>0.5</v>
      </c>
      <c r="E93" s="91">
        <v>21.504703981115519</v>
      </c>
      <c r="F93" s="91">
        <v>27.753505517780983</v>
      </c>
      <c r="G93" s="91">
        <v>110.79653076612773</v>
      </c>
      <c r="H93" s="92">
        <v>3194.3245659221889</v>
      </c>
    </row>
    <row r="94" spans="2:8" x14ac:dyDescent="0.25">
      <c r="B94" s="70">
        <v>50</v>
      </c>
      <c r="C94" s="91">
        <v>3.9258018284026126</v>
      </c>
      <c r="D94" s="91">
        <v>0.5</v>
      </c>
      <c r="E94" s="91">
        <v>19.963833373546056</v>
      </c>
      <c r="F94" s="91">
        <v>24.969801868660518</v>
      </c>
      <c r="G94" s="91">
        <v>99.418053600050115</v>
      </c>
      <c r="H94" s="92">
        <v>2468.1033442314592</v>
      </c>
    </row>
    <row r="95" spans="2:8" x14ac:dyDescent="0.25">
      <c r="B95" s="70">
        <v>60</v>
      </c>
      <c r="C95" s="91">
        <v>3.762519028129514</v>
      </c>
      <c r="D95" s="91">
        <v>0.5</v>
      </c>
      <c r="E95" s="91">
        <v>18.47439479218702</v>
      </c>
      <c r="F95" s="91">
        <v>22.173444405403419</v>
      </c>
      <c r="G95" s="91">
        <v>87.921187316054358</v>
      </c>
      <c r="H95" s="92">
        <v>1866.9644159005454</v>
      </c>
    </row>
    <row r="96" spans="2:8" x14ac:dyDescent="0.25">
      <c r="B96" s="70">
        <v>70</v>
      </c>
      <c r="C96" s="91">
        <v>3.5491856073009185</v>
      </c>
      <c r="D96" s="91">
        <v>0.5</v>
      </c>
      <c r="E96" s="91">
        <v>17.100294567877651</v>
      </c>
      <c r="F96" s="91">
        <v>19.442874676609307</v>
      </c>
      <c r="G96" s="91">
        <v>76.585808430225825</v>
      </c>
      <c r="H96" s="92">
        <v>1391.0876589459326</v>
      </c>
    </row>
    <row r="97" spans="2:8" x14ac:dyDescent="0.25">
      <c r="B97" s="70">
        <v>80</v>
      </c>
      <c r="C97" s="91">
        <v>3.2659354507454199</v>
      </c>
      <c r="D97" s="91">
        <v>0.5</v>
      </c>
      <c r="E97" s="91">
        <v>15.955132102989545</v>
      </c>
      <c r="F97" s="91">
        <v>16.894368510253816</v>
      </c>
      <c r="G97" s="91">
        <v>65.736864615988281</v>
      </c>
      <c r="H97" s="92">
        <v>1036.8315799464815</v>
      </c>
    </row>
    <row r="98" spans="2:8" x14ac:dyDescent="0.25">
      <c r="B98" s="70">
        <v>90</v>
      </c>
      <c r="C98" s="91">
        <v>2.8702746129199208</v>
      </c>
      <c r="D98" s="91">
        <v>0.5</v>
      </c>
      <c r="E98" s="91">
        <v>15.351463860514023</v>
      </c>
      <c r="F98" s="91">
        <v>14.420477422224865</v>
      </c>
      <c r="G98" s="91">
        <v>55.613119799295987</v>
      </c>
      <c r="H98" s="92">
        <v>810.6525900113561</v>
      </c>
    </row>
    <row r="99" spans="2:8" ht="15.75" thickBot="1" x14ac:dyDescent="0.3">
      <c r="B99" s="71">
        <v>96</v>
      </c>
      <c r="C99" s="94">
        <v>2.5355727870330917</v>
      </c>
      <c r="D99" s="94">
        <v>0.5</v>
      </c>
      <c r="E99" s="94">
        <v>15.092258273989447</v>
      </c>
      <c r="F99" s="94">
        <v>12.651392180844811</v>
      </c>
      <c r="G99" s="94">
        <v>48.383338768214379</v>
      </c>
      <c r="H99" s="96">
        <v>680.62218502978396</v>
      </c>
    </row>
    <row r="100" spans="2:8" ht="15.75" thickBot="1" x14ac:dyDescent="0.3">
      <c r="D100" s="75"/>
      <c r="E100" s="75"/>
      <c r="F100" s="75"/>
      <c r="G100" s="75"/>
      <c r="H100" s="75"/>
    </row>
    <row r="101" spans="2:8" ht="15.75" thickBot="1" x14ac:dyDescent="0.3">
      <c r="B101" s="13" t="s">
        <v>396</v>
      </c>
      <c r="C101" s="8" t="s">
        <v>250</v>
      </c>
      <c r="D101" s="104" t="s">
        <v>93</v>
      </c>
      <c r="E101" s="104" t="s">
        <v>94</v>
      </c>
      <c r="F101" s="104" t="s">
        <v>95</v>
      </c>
      <c r="G101" s="104" t="s">
        <v>96</v>
      </c>
      <c r="H101" s="10" t="s">
        <v>251</v>
      </c>
    </row>
    <row r="102" spans="2:8" x14ac:dyDescent="0.25">
      <c r="B102" s="105" t="s">
        <v>252</v>
      </c>
      <c r="C102" s="76" t="s">
        <v>259</v>
      </c>
      <c r="D102" s="77" cm="1">
        <f t="array" ref="D102:G102">LINEST(C89:C99,B89:B99^{1,2,3})</f>
        <v>-2.1159290853558731E-6</v>
      </c>
      <c r="E102" s="77">
        <v>6.3964738729547206E-5</v>
      </c>
      <c r="F102" s="77">
        <v>-4.404293923551808E-3</v>
      </c>
      <c r="G102" s="77">
        <v>4.2681103363677861</v>
      </c>
      <c r="H102" s="78">
        <f>IFERROR(RSQ(C89:C99,B89:B99),1)</f>
        <v>0.86647937904597983</v>
      </c>
    </row>
    <row r="103" spans="2:8" x14ac:dyDescent="0.25">
      <c r="B103" s="106" t="s">
        <v>253</v>
      </c>
      <c r="C103" s="79" t="s">
        <v>259</v>
      </c>
      <c r="D103" s="83" cm="1">
        <f t="array" ref="D103:G103">LINEST(D89:D99,B89:B99^{1,2,3})</f>
        <v>0</v>
      </c>
      <c r="E103" s="80">
        <v>0</v>
      </c>
      <c r="F103" s="80">
        <v>0</v>
      </c>
      <c r="G103" s="80">
        <v>0.5</v>
      </c>
      <c r="H103" s="81">
        <f>IFERROR(RSQ(D89:D99,B89:B99),1)</f>
        <v>1</v>
      </c>
    </row>
    <row r="104" spans="2:8" x14ac:dyDescent="0.25">
      <c r="B104" s="106" t="s">
        <v>257</v>
      </c>
      <c r="C104" s="79" t="s">
        <v>259</v>
      </c>
      <c r="D104" s="83" cm="1">
        <f t="array" ref="D104:G104">LINEST(E89:E99,B89:B99^{1,2,3})</f>
        <v>1.0442105275387613E-5</v>
      </c>
      <c r="E104" s="102">
        <v>-1.0178319148858119E-3</v>
      </c>
      <c r="F104" s="80">
        <v>-0.12900770367020101</v>
      </c>
      <c r="G104" s="80">
        <v>27.573209700656253</v>
      </c>
      <c r="H104" s="81">
        <f>IFERROR(RSQ(E89:E99,B89:B99),1)</f>
        <v>0.98801142548589582</v>
      </c>
    </row>
    <row r="105" spans="2:8" x14ac:dyDescent="0.25">
      <c r="B105" s="106" t="s">
        <v>254</v>
      </c>
      <c r="C105" s="82" t="s">
        <v>259</v>
      </c>
      <c r="D105" s="80" cm="1">
        <f t="array" ref="D105:G105">LINEST(F89:F99,B89:B99^{1,2,3})</f>
        <v>6.5714074586809298E-6</v>
      </c>
      <c r="E105" s="102">
        <v>-1.040064204316542E-3</v>
      </c>
      <c r="F105" s="80">
        <v>-0.22215748351365017</v>
      </c>
      <c r="G105" s="80">
        <v>37.886991908306292</v>
      </c>
      <c r="H105" s="81">
        <f>IFERROR(RSQ(E89:E99,B89:B99),1)</f>
        <v>0.98801142548589582</v>
      </c>
    </row>
    <row r="106" spans="2:8" x14ac:dyDescent="0.25">
      <c r="B106" s="106" t="s">
        <v>327</v>
      </c>
      <c r="C106" s="84" t="s">
        <v>259</v>
      </c>
      <c r="D106" s="103" cm="1">
        <f t="array" ref="D106:G106">LINEST(G89:G99,B89:B99^{1,2,3})</f>
        <v>2.9406488945428832E-5</v>
      </c>
      <c r="E106" s="80">
        <v>-4.9807670343478489E-3</v>
      </c>
      <c r="F106" s="80">
        <v>-0.85921523096503793</v>
      </c>
      <c r="G106" s="80">
        <v>151.21547701252575</v>
      </c>
      <c r="H106" s="81">
        <f>IFERROR(RSQ(F89:F99,B89:B99),1)</f>
        <v>0.9995652113358855</v>
      </c>
    </row>
    <row r="107" spans="2:8" ht="15.75" thickBot="1" x14ac:dyDescent="0.3">
      <c r="B107" s="107" t="s">
        <v>258</v>
      </c>
      <c r="C107" s="85" t="s">
        <v>259</v>
      </c>
      <c r="D107" s="86" cm="1">
        <f t="array" ref="D107:G107">LINEST(H89:H99,B89:B99^{1,2,3})</f>
        <v>3.4945431192240313E-4</v>
      </c>
      <c r="E107" s="86">
        <v>0.53323602187295105</v>
      </c>
      <c r="F107" s="86">
        <v>-122.24091778313449</v>
      </c>
      <c r="G107" s="86">
        <v>7214.3940469997115</v>
      </c>
      <c r="H107" s="87">
        <f>IFERROR(RSQ(G89:G99,B89:B99),1)</f>
        <v>0.99930045497285436</v>
      </c>
    </row>
    <row r="108" spans="2:8" ht="15.75" thickBot="1" x14ac:dyDescent="0.3">
      <c r="D108" s="75"/>
      <c r="E108" s="75"/>
      <c r="F108" s="75"/>
      <c r="G108" s="75"/>
      <c r="H108" s="75"/>
    </row>
    <row r="109" spans="2:8" ht="15.75" thickBot="1" x14ac:dyDescent="0.3">
      <c r="B109" s="21"/>
      <c r="C109" s="9" t="s">
        <v>250</v>
      </c>
      <c r="D109" s="22" t="s">
        <v>337</v>
      </c>
      <c r="E109" s="22" t="s">
        <v>336</v>
      </c>
      <c r="F109" s="22" t="s">
        <v>262</v>
      </c>
      <c r="G109" s="22"/>
      <c r="H109" s="20"/>
    </row>
    <row r="110" spans="2:8" ht="15.75" thickBot="1" x14ac:dyDescent="0.3">
      <c r="B110" s="89"/>
      <c r="C110" s="64" t="s">
        <v>259</v>
      </c>
      <c r="D110" s="100">
        <f>E110/C86</f>
        <v>101.17448263150965</v>
      </c>
      <c r="E110" s="100">
        <f>(1 / 4) * (C86 ^ 4) * (((-2)*(D103)*(G102)) + ((D104)*(G102)) - ((2)*(D102)*(G103))+((D102)*(G104))-((2)*(E103)*(F102))+((E104)*(F102))-((2)*(E102)*(F103))+((E102)*(F104)))+(1 / 5) * (C86 ^ 5) * (((-2)*(D103)*(F102))+((D104)*(F102))+((-2)*(D102)*(F103))+((D102)*(F104))+((E102)*((E104)-((2)*(E103)))))+((1/6)*(C86^6))*(((-2)*(D103)*(E102))+((D104)*(E102))+((D102)*((E104)-((2)*(E103)))))+((1/7)*(D102)*((D104)-((2)*(D103)))*(C86^7))+(1/3)*(C86^3)*(((-2)*(E103)*(G102))+((E104)*(G102))-((2)*(E102)*(G103))+((E102)*(G104))+((F102)*((F104)-((2)*(F103)))))+(1/2)*(C86^2)*(((-2)*(F103)*(G102))+((F104)*(G102))+((F102)*((G104)-((2)*(G103)))))-((G102)*(((2)*(G103))-(G104))*(C86))+(1/2)*(C86^4)*(((D105)*(G103))+((D103)*(G105))+((E105)*(F103))+((E103)*(F105)))+(2/5)*(C86^5)*(((D105)*(F103))+((D103)*(F105))+((E103)*(E105)))+(1/3)*(C86^6)*(((D105)*(E103))+((D103)*(E105)))+(2/7)*(C86^7)*(D103)*(D105)+(2/3)*(C86^3)*(((E105)*(G103))+((E103)*(G105))+((F103)*(F105)))+(C86^2)*(((F105)*(G103))+((F103)*(G105)))+(2)*(G103)*(G105)*(C86)</f>
        <v>9712.7503326249262</v>
      </c>
      <c r="F110" s="100">
        <f>E110*C25</f>
        <v>2758.4210944654787</v>
      </c>
      <c r="G110" s="100"/>
      <c r="H110" s="101"/>
    </row>
    <row r="114" spans="2:8" ht="15.75" thickBot="1" x14ac:dyDescent="0.3">
      <c r="B114" s="113">
        <f>D116+12</f>
        <v>168</v>
      </c>
      <c r="C114">
        <f>C18</f>
        <v>2.5355727870330917</v>
      </c>
      <c r="D114">
        <f>C19</f>
        <v>0.5</v>
      </c>
      <c r="E114">
        <f>C20</f>
        <v>14.263049270073461</v>
      </c>
      <c r="F114">
        <f>C21</f>
        <v>11.952825368992725</v>
      </c>
      <c r="G114">
        <f>D44</f>
        <v>45.582252171270106</v>
      </c>
      <c r="H114" s="50">
        <f>((C54 * ((E54 - (2 * D54)) ^ 3)) / 12) + (2 * (((F54 * (D54 ^ 3)) / 12) + ((F54 * D54) * ((((E54 - (2 * D54)) + D54) / 2) ^ 2)))) / (E54 / 2)</f>
        <v>572.38022841241718</v>
      </c>
    </row>
    <row r="115" spans="2:8" ht="15.75" thickBot="1" x14ac:dyDescent="0.3">
      <c r="B115" s="21" t="s">
        <v>338</v>
      </c>
      <c r="C115" s="22" t="s">
        <v>339</v>
      </c>
      <c r="D115" s="22" t="s">
        <v>340</v>
      </c>
      <c r="E115" s="22" t="s">
        <v>341</v>
      </c>
      <c r="F115" s="22" t="s">
        <v>342</v>
      </c>
      <c r="G115" s="22"/>
      <c r="H115" s="20"/>
    </row>
    <row r="116" spans="2:8" ht="15.75" thickBot="1" x14ac:dyDescent="0.3">
      <c r="B116" s="89">
        <v>3</v>
      </c>
      <c r="C116" s="110">
        <v>12</v>
      </c>
      <c r="D116" s="110">
        <v>156</v>
      </c>
      <c r="E116" s="110">
        <f>D116+C116</f>
        <v>168</v>
      </c>
      <c r="F116" s="114">
        <f>ROUND(C116/10,10)</f>
        <v>1.2</v>
      </c>
      <c r="G116" s="108"/>
      <c r="H116" s="109"/>
    </row>
    <row r="117" spans="2:8" ht="15.75" thickBot="1" x14ac:dyDescent="0.3"/>
    <row r="118" spans="2:8" ht="15.75" thickBot="1" x14ac:dyDescent="0.3">
      <c r="B118" s="13" t="s">
        <v>346</v>
      </c>
      <c r="C118" s="104" t="s">
        <v>329</v>
      </c>
      <c r="D118" s="104" t="s">
        <v>330</v>
      </c>
      <c r="E118" s="104" t="s">
        <v>331</v>
      </c>
      <c r="F118" s="104" t="s">
        <v>332</v>
      </c>
      <c r="G118" s="104" t="s">
        <v>333</v>
      </c>
      <c r="H118" s="10" t="s">
        <v>334</v>
      </c>
    </row>
    <row r="119" spans="2:8" x14ac:dyDescent="0.25">
      <c r="B119" s="88">
        <v>0</v>
      </c>
      <c r="C119" s="97">
        <v>2.5355727870330917</v>
      </c>
      <c r="D119" s="97">
        <v>0.5</v>
      </c>
      <c r="E119" s="97">
        <v>15.092258273989447</v>
      </c>
      <c r="F119" s="97">
        <v>12.651392180844811</v>
      </c>
      <c r="G119" s="97">
        <v>48.383338768214379</v>
      </c>
      <c r="H119" s="99">
        <v>680.62218502978396</v>
      </c>
    </row>
    <row r="120" spans="2:8" x14ac:dyDescent="0.25">
      <c r="B120" s="70">
        <v>1</v>
      </c>
      <c r="C120" s="91">
        <v>2.5355727870330917</v>
      </c>
      <c r="D120" s="91">
        <v>0.5</v>
      </c>
      <c r="E120" s="91">
        <v>15.388558029158839</v>
      </c>
      <c r="F120" s="91">
        <v>12.908828560557366</v>
      </c>
      <c r="G120" s="91">
        <v>49.392064743939017</v>
      </c>
      <c r="H120" s="92">
        <v>722.43838720737062</v>
      </c>
    </row>
    <row r="121" spans="2:8" x14ac:dyDescent="0.25">
      <c r="B121" s="70">
        <v>2</v>
      </c>
      <c r="C121" s="91">
        <v>2.5355727870330917</v>
      </c>
      <c r="D121" s="91">
        <v>0.5</v>
      </c>
      <c r="E121" s="91">
        <v>15.284540788005231</v>
      </c>
      <c r="F121" s="91">
        <v>12.838690999399038</v>
      </c>
      <c r="G121" s="91">
        <v>49.058183896729332</v>
      </c>
      <c r="H121" s="92">
        <v>707.71397482672626</v>
      </c>
    </row>
    <row r="122" spans="2:8" x14ac:dyDescent="0.25">
      <c r="B122" s="70">
        <v>3</v>
      </c>
      <c r="C122" s="91">
        <v>2.5355727870330917</v>
      </c>
      <c r="D122" s="91">
        <v>0.5</v>
      </c>
      <c r="E122" s="91">
        <v>15.191324133945944</v>
      </c>
      <c r="F122" s="91">
        <v>12.738816609736658</v>
      </c>
      <c r="G122" s="91">
        <v>48.721951895735955</v>
      </c>
      <c r="H122" s="92">
        <v>694.42810236333742</v>
      </c>
    </row>
    <row r="123" spans="2:8" x14ac:dyDescent="0.25">
      <c r="B123" s="70">
        <v>4</v>
      </c>
      <c r="C123" s="91">
        <v>2.5355727870330917</v>
      </c>
      <c r="D123" s="91">
        <v>0.5</v>
      </c>
      <c r="E123" s="91">
        <v>15.084825838552348</v>
      </c>
      <c r="F123" s="91">
        <v>12.670242765364383</v>
      </c>
      <c r="G123" s="91">
        <v>48.383343871698266</v>
      </c>
      <c r="H123" s="92">
        <v>679.77305456073111</v>
      </c>
    </row>
    <row r="124" spans="2:8" x14ac:dyDescent="0.25">
      <c r="B124" s="70">
        <v>5</v>
      </c>
      <c r="C124" s="91">
        <v>2.5355727870330917</v>
      </c>
      <c r="D124" s="91">
        <v>0.5</v>
      </c>
      <c r="E124" s="91">
        <v>14.987585819123176</v>
      </c>
      <c r="F124" s="91">
        <v>12.575744319527821</v>
      </c>
      <c r="G124" s="91">
        <v>48.04228627878652</v>
      </c>
      <c r="H124" s="92">
        <v>666.35196634820522</v>
      </c>
    </row>
    <row r="125" spans="2:8" x14ac:dyDescent="0.25">
      <c r="B125" s="70">
        <v>7</v>
      </c>
      <c r="C125" s="91">
        <v>2.5355727870330917</v>
      </c>
      <c r="D125" s="91">
        <v>0.5</v>
      </c>
      <c r="E125" s="91">
        <v>14.795374069308505</v>
      </c>
      <c r="F125" s="91">
        <v>12.37354860342886</v>
      </c>
      <c r="G125" s="91">
        <v>47.35272368050947</v>
      </c>
      <c r="H125" s="92">
        <v>640.23565610436594</v>
      </c>
    </row>
    <row r="126" spans="2:8" x14ac:dyDescent="0.25">
      <c r="B126" s="70">
        <v>8</v>
      </c>
      <c r="C126" s="91">
        <v>2.5355727870330917</v>
      </c>
      <c r="D126" s="91">
        <v>0.5</v>
      </c>
      <c r="E126" s="91">
        <v>14.680181678042327</v>
      </c>
      <c r="F126" s="91">
        <v>12.31695480978359</v>
      </c>
      <c r="G126" s="91">
        <v>47.004051194296409</v>
      </c>
      <c r="H126" s="92">
        <v>625.35550022445125</v>
      </c>
    </row>
    <row r="127" spans="2:8" x14ac:dyDescent="0.25">
      <c r="B127" s="70">
        <v>9</v>
      </c>
      <c r="C127" s="91">
        <v>2.5355727870330917</v>
      </c>
      <c r="D127" s="91">
        <v>0.5</v>
      </c>
      <c r="E127" s="91">
        <v>14.580574500259319</v>
      </c>
      <c r="F127" s="91">
        <v>12.218219870918311</v>
      </c>
      <c r="G127" s="91">
        <v>46.652755006051372</v>
      </c>
      <c r="H127" s="92">
        <v>612.34074527977475</v>
      </c>
    </row>
    <row r="128" spans="2:8" x14ac:dyDescent="0.25">
      <c r="B128" s="70">
        <v>10</v>
      </c>
      <c r="C128" s="91">
        <v>2.5355727870330917</v>
      </c>
      <c r="D128" s="91">
        <v>0.5</v>
      </c>
      <c r="E128" s="91">
        <v>14.472377481113478</v>
      </c>
      <c r="F128" s="91">
        <v>12.138524841686262</v>
      </c>
      <c r="G128" s="91">
        <v>46.298718559435031</v>
      </c>
      <c r="H128" s="92">
        <v>598.59421921498938</v>
      </c>
    </row>
    <row r="129" spans="2:8" ht="15.75" thickBot="1" x14ac:dyDescent="0.3">
      <c r="B129" s="71">
        <v>12</v>
      </c>
      <c r="C129" s="94">
        <v>2.5355727870330917</v>
      </c>
      <c r="D129" s="94">
        <v>0.5</v>
      </c>
      <c r="E129" s="94">
        <v>14.273438925281175</v>
      </c>
      <c r="F129" s="94">
        <v>11.926501320975449</v>
      </c>
      <c r="G129" s="94">
        <v>45.582271850264164</v>
      </c>
      <c r="H129" s="96">
        <v>573.42663589872643</v>
      </c>
    </row>
    <row r="130" spans="2:8" ht="15.75" thickBot="1" x14ac:dyDescent="0.3">
      <c r="D130" s="75"/>
      <c r="E130" s="75"/>
      <c r="F130" s="75"/>
      <c r="G130" s="75"/>
      <c r="H130" s="75"/>
    </row>
    <row r="131" spans="2:8" ht="15.75" thickBot="1" x14ac:dyDescent="0.3">
      <c r="B131" s="13" t="s">
        <v>397</v>
      </c>
      <c r="C131" s="8" t="s">
        <v>250</v>
      </c>
      <c r="D131" s="104" t="s">
        <v>93</v>
      </c>
      <c r="E131" s="104" t="s">
        <v>94</v>
      </c>
      <c r="F131" s="104" t="s">
        <v>95</v>
      </c>
      <c r="G131" s="104" t="s">
        <v>96</v>
      </c>
      <c r="H131" s="10" t="s">
        <v>251</v>
      </c>
    </row>
    <row r="132" spans="2:8" x14ac:dyDescent="0.25">
      <c r="B132" s="105" t="s">
        <v>252</v>
      </c>
      <c r="C132" s="76" t="s">
        <v>259</v>
      </c>
      <c r="D132" s="77" cm="1">
        <f t="array" ref="D132:G132">LINEST(C119:C129,B119:B129^{1,2,3})</f>
        <v>0</v>
      </c>
      <c r="E132" s="77">
        <v>0</v>
      </c>
      <c r="F132" s="77">
        <v>0</v>
      </c>
      <c r="G132" s="77">
        <v>2.5355727870330922</v>
      </c>
      <c r="H132" s="78">
        <v>1</v>
      </c>
    </row>
    <row r="133" spans="2:8" x14ac:dyDescent="0.25">
      <c r="B133" s="106" t="s">
        <v>253</v>
      </c>
      <c r="C133" s="79" t="s">
        <v>259</v>
      </c>
      <c r="D133" s="83" cm="1">
        <f t="array" ref="D133:G133">LINEST(D119:D129,B119:B129^{1,2,3})</f>
        <v>0</v>
      </c>
      <c r="E133" s="80">
        <v>0</v>
      </c>
      <c r="F133" s="80">
        <v>0</v>
      </c>
      <c r="G133" s="80">
        <v>0.5</v>
      </c>
      <c r="H133" s="81">
        <f>IFERROR(RSQ(D119:D129,B119:B129),1)</f>
        <v>1</v>
      </c>
    </row>
    <row r="134" spans="2:8" x14ac:dyDescent="0.25">
      <c r="B134" s="106" t="s">
        <v>257</v>
      </c>
      <c r="C134" s="79" t="s">
        <v>259</v>
      </c>
      <c r="D134" s="83" cm="1">
        <f t="array" ref="D134:G134">LINEST(E119:E129,B119:B129^{1,2,3})</f>
        <v>1.2684499411076201E-3</v>
      </c>
      <c r="E134" s="102">
        <v>-2.7758360668612269E-2</v>
      </c>
      <c r="F134" s="80">
        <v>7.5635916203519588E-2</v>
      </c>
      <c r="G134" s="80">
        <v>15.195196643198697</v>
      </c>
      <c r="H134" s="81">
        <f>IFERROR(RSQ(E119:E129,B119:B129),1)</f>
        <v>0.91140718341506333</v>
      </c>
    </row>
    <row r="135" spans="2:8" x14ac:dyDescent="0.25">
      <c r="B135" s="106" t="s">
        <v>254</v>
      </c>
      <c r="C135" s="82" t="s">
        <v>259</v>
      </c>
      <c r="D135" s="80" cm="1">
        <f t="array" ref="D135:G135">LINEST(F119:F129,B119:B129^{1,2,3})</f>
        <v>1.0704457901287417E-3</v>
      </c>
      <c r="E135" s="102">
        <v>-2.3987036746254006E-2</v>
      </c>
      <c r="F135" s="80">
        <v>6.8031700938268297E-2</v>
      </c>
      <c r="G135" s="80">
        <v>12.743320699188846</v>
      </c>
      <c r="H135" s="81">
        <f>IFERROR(RSQ(E119:E129,B119:B129),1)</f>
        <v>0.91140718341506333</v>
      </c>
    </row>
    <row r="136" spans="2:8" x14ac:dyDescent="0.25">
      <c r="B136" s="106" t="s">
        <v>327</v>
      </c>
      <c r="C136" s="84" t="s">
        <v>259</v>
      </c>
      <c r="D136" s="103" cm="1">
        <f t="array" ref="D136:G136">LINEST(G119:G129,B119:B129^{1,2,3})</f>
        <v>4.2866929425149488E-3</v>
      </c>
      <c r="E136" s="80">
        <v>-9.4370380670236911E-2</v>
      </c>
      <c r="F136" s="80">
        <v>0.25981207178622739</v>
      </c>
      <c r="G136" s="80">
        <v>48.736275014266951</v>
      </c>
      <c r="H136" s="81">
        <f>IFERROR(RSQ(F119:F129,B119:B129),1)</f>
        <v>0.9044353570677095</v>
      </c>
    </row>
    <row r="137" spans="2:8" ht="15.75" thickBot="1" x14ac:dyDescent="0.3">
      <c r="B137" s="107" t="s">
        <v>258</v>
      </c>
      <c r="C137" s="85" t="s">
        <v>259</v>
      </c>
      <c r="D137" s="86" cm="1">
        <f t="array" ref="D137:G137">LINEST(H119:H129,B119:B129^{1,2,3})</f>
        <v>0.17996925152290374</v>
      </c>
      <c r="E137" s="86">
        <v>-3.8459145769976288</v>
      </c>
      <c r="F137" s="86">
        <v>10.373084922792785</v>
      </c>
      <c r="G137" s="86">
        <v>695.27614900622905</v>
      </c>
      <c r="H137" s="87">
        <f>IFERROR(RSQ(G119:G129,B119:B129),1)</f>
        <v>0.910051433956373</v>
      </c>
    </row>
    <row r="138" spans="2:8" ht="15.75" thickBot="1" x14ac:dyDescent="0.3">
      <c r="D138" s="75"/>
      <c r="E138" s="75"/>
      <c r="F138" s="75"/>
      <c r="G138" s="75"/>
      <c r="H138" s="75"/>
    </row>
    <row r="139" spans="2:8" ht="15.75" thickBot="1" x14ac:dyDescent="0.3">
      <c r="B139" s="21"/>
      <c r="C139" s="9" t="s">
        <v>250</v>
      </c>
      <c r="D139" s="22" t="s">
        <v>337</v>
      </c>
      <c r="E139" s="22" t="s">
        <v>336</v>
      </c>
      <c r="F139" s="22" t="s">
        <v>262</v>
      </c>
      <c r="G139" s="22"/>
      <c r="H139" s="20"/>
    </row>
    <row r="140" spans="2:8" ht="15.75" thickBot="1" x14ac:dyDescent="0.3">
      <c r="B140" s="89"/>
      <c r="C140" s="64" t="s">
        <v>259</v>
      </c>
      <c r="D140" s="100">
        <f>E140/C116</f>
        <v>47.617220523979405</v>
      </c>
      <c r="E140" s="100">
        <f>(1 / 4) * (C116 ^ 4) * (((-2)*(D133)*(G132)) + ((D134)*(G132)) - ((2)*(D132)*(G133))+((D132)*(G134))-((2)*(E133)*(F132))+((E134)*(F132))-((2)*(E132)*(F133))+((E132)*(F134)))+(1 / 5) * (C116 ^ 5) * (((-2)*(D133)*(F132))+((D134)*(F132))+((-2)*(D132)*(F133))+((D132)*(F134))+((E132)*((E134)-((2)*(E133)))))+((1/6)*(C116^6))*(((-2)*(D133)*(E132))+((D134)*(E132))+((D132)*((E134)-((2)*(E133)))))+((1/7)*(D132)*((D134)-((2)*(D133)))*(C116^7))+(1/3)*(C116^3)*(((-2)*(E133)*(G132))+((E134)*(G132))-((2)*(E132)*(G133))+((E132)*(G134))+((F132)*((F134)-((2)*(F133)))))+(1/2)*(C116^2)*(((-2)*(F133)*(G132))+((F134)*(G132))+((F132)*((G134)-((2)*(G133)))))-((G132)*(((2)*(G133))-(G134))*(C116))+(1/2)*(C116^4)*(((D135)*(G133))+((D133)*(G135))+((E135)*(F133))+((E133)*(F135)))+(2/5)*(C116^5)*(((D135)*(F133))+((D133)*(F135))+((E133)*(E135)))+(1/3)*(C116^6)*(((D135)*(E133))+((D133)*(E135)))+(2/7)*(C116^7)*(D133)*(D135)+(2/3)*(C116^3)*(((E135)*(G133))+((E133)*(G135))+((F133)*(F135)))+(C116^2)*(((F135)*(G133))+((F133)*(G135)))+(2)*(G133)*(G135)*(C116)</f>
        <v>571.40664628775289</v>
      </c>
      <c r="F140" s="100">
        <f>E140*C25</f>
        <v>162.27948754572179</v>
      </c>
      <c r="G140" s="100"/>
      <c r="H140" s="101"/>
    </row>
    <row r="144" spans="2:8" ht="15.75" thickBot="1" x14ac:dyDescent="0.3">
      <c r="B144" s="113">
        <f>D146+27</f>
        <v>195</v>
      </c>
      <c r="C144">
        <f>C18</f>
        <v>2.5355727870330917</v>
      </c>
      <c r="D144">
        <f>C19</f>
        <v>0.5</v>
      </c>
      <c r="E144">
        <f>C20</f>
        <v>14.263049270073461</v>
      </c>
      <c r="F144">
        <f>C21</f>
        <v>11.952825368992725</v>
      </c>
      <c r="G144">
        <f>D44</f>
        <v>45.582252171270106</v>
      </c>
      <c r="H144" s="50">
        <f>((C54 * ((E54 - (2 * D54)) ^ 3)) / 12) + (2 * (((F54 * (D54 ^ 3)) / 12) + ((F54 * D54) * ((((E54 - (2 * D54)) + D54) / 2) ^ 2)))) / (E54 / 2)</f>
        <v>572.38022841241718</v>
      </c>
    </row>
    <row r="145" spans="2:8" ht="15.75" thickBot="1" x14ac:dyDescent="0.3">
      <c r="B145" s="21" t="s">
        <v>338</v>
      </c>
      <c r="C145" s="22" t="s">
        <v>339</v>
      </c>
      <c r="D145" s="22" t="s">
        <v>340</v>
      </c>
      <c r="E145" s="22" t="s">
        <v>341</v>
      </c>
      <c r="F145" s="22" t="s">
        <v>342</v>
      </c>
      <c r="G145" s="22"/>
      <c r="H145" s="20"/>
    </row>
    <row r="146" spans="2:8" ht="15.75" thickBot="1" x14ac:dyDescent="0.3">
      <c r="B146" s="89">
        <v>4</v>
      </c>
      <c r="C146" s="110">
        <v>30</v>
      </c>
      <c r="D146" s="110">
        <v>168</v>
      </c>
      <c r="E146" s="110">
        <f>D146+C146</f>
        <v>198</v>
      </c>
      <c r="F146" s="111">
        <f>ROUND(C146/10,0)</f>
        <v>3</v>
      </c>
      <c r="G146" s="108"/>
      <c r="H146" s="109"/>
    </row>
    <row r="147" spans="2:8" ht="15.75" thickBot="1" x14ac:dyDescent="0.3"/>
    <row r="148" spans="2:8" ht="15.75" thickBot="1" x14ac:dyDescent="0.3">
      <c r="B148" s="13" t="s">
        <v>347</v>
      </c>
      <c r="C148" s="104" t="s">
        <v>329</v>
      </c>
      <c r="D148" s="104" t="s">
        <v>330</v>
      </c>
      <c r="E148" s="104" t="s">
        <v>331</v>
      </c>
      <c r="F148" s="104" t="s">
        <v>332</v>
      </c>
      <c r="G148" s="104" t="s">
        <v>333</v>
      </c>
      <c r="H148" s="10" t="s">
        <v>334</v>
      </c>
    </row>
    <row r="149" spans="2:8" x14ac:dyDescent="0.25">
      <c r="B149" s="88">
        <v>0</v>
      </c>
      <c r="C149" s="97">
        <v>2.5355727870330917</v>
      </c>
      <c r="D149" s="97">
        <v>0.5</v>
      </c>
      <c r="E149" s="97">
        <v>14.273438925281175</v>
      </c>
      <c r="F149" s="97">
        <v>11.926501320975449</v>
      </c>
      <c r="G149" s="97">
        <v>45.582271850264164</v>
      </c>
      <c r="H149" s="99">
        <v>573.42663589872643</v>
      </c>
    </row>
    <row r="150" spans="2:8" x14ac:dyDescent="0.25">
      <c r="B150" s="70">
        <v>3</v>
      </c>
      <c r="C150" s="91">
        <v>2.5355727826103931</v>
      </c>
      <c r="D150" s="91">
        <v>0.5</v>
      </c>
      <c r="E150" s="91">
        <v>13.946156552609548</v>
      </c>
      <c r="F150" s="91">
        <v>11.659149838410224</v>
      </c>
      <c r="G150" s="91">
        <v>44.485072032620188</v>
      </c>
      <c r="H150" s="92">
        <v>534.08676113856507</v>
      </c>
    </row>
    <row r="151" spans="2:8" x14ac:dyDescent="0.25">
      <c r="B151" s="70">
        <v>6</v>
      </c>
      <c r="C151" s="91">
        <v>2.5355725039803283</v>
      </c>
      <c r="D151" s="91">
        <v>0.5</v>
      </c>
      <c r="E151" s="91">
        <v>13.616841864094742</v>
      </c>
      <c r="F151" s="91">
        <v>11.369566859984856</v>
      </c>
      <c r="G151" s="91">
        <v>43.360484177651394</v>
      </c>
      <c r="H151" s="92">
        <v>496.23521848777995</v>
      </c>
    </row>
    <row r="152" spans="2:8" x14ac:dyDescent="0.25">
      <c r="B152" s="70">
        <v>9</v>
      </c>
      <c r="C152" s="91">
        <v>2.5355695628814661</v>
      </c>
      <c r="D152" s="91">
        <v>0.5</v>
      </c>
      <c r="E152" s="91">
        <v>13.261111864002421</v>
      </c>
      <c r="F152" s="91">
        <v>11.115913644925945</v>
      </c>
      <c r="G152" s="91">
        <v>42.20481569437532</v>
      </c>
      <c r="H152" s="92">
        <v>457.7652581467072</v>
      </c>
    </row>
    <row r="153" spans="2:8" x14ac:dyDescent="0.25">
      <c r="B153" s="70">
        <v>12</v>
      </c>
      <c r="C153" s="91">
        <v>2.5355546715288151</v>
      </c>
      <c r="D153" s="91">
        <v>0.5</v>
      </c>
      <c r="E153" s="91">
        <v>12.911765264028102</v>
      </c>
      <c r="F153" s="91">
        <v>10.812866862825706</v>
      </c>
      <c r="G153" s="91">
        <v>41.015798924186825</v>
      </c>
      <c r="H153" s="92">
        <v>421.66462412079227</v>
      </c>
    </row>
    <row r="154" spans="2:8" x14ac:dyDescent="0.25">
      <c r="B154" s="70">
        <v>15</v>
      </c>
      <c r="C154" s="91">
        <v>2.5355036804787163</v>
      </c>
      <c r="D154" s="91">
        <v>0.5</v>
      </c>
      <c r="E154" s="91">
        <v>12.546543377922472</v>
      </c>
      <c r="F154" s="91">
        <v>10.513950805039567</v>
      </c>
      <c r="G154" s="91">
        <v>39.790254036569145</v>
      </c>
      <c r="H154" s="92">
        <v>386.10578867905923</v>
      </c>
    </row>
    <row r="155" spans="2:8" x14ac:dyDescent="0.25">
      <c r="B155" s="70">
        <v>18</v>
      </c>
      <c r="C155" s="91">
        <v>2.5353664247967256</v>
      </c>
      <c r="D155" s="91">
        <v>0.5</v>
      </c>
      <c r="E155" s="91">
        <v>12.190422547021365</v>
      </c>
      <c r="F155" s="91">
        <v>10.152509383200027</v>
      </c>
      <c r="G155" s="91">
        <v>38.524330988206252</v>
      </c>
      <c r="H155" s="92">
        <v>353.01733585322972</v>
      </c>
    </row>
    <row r="156" spans="2:8" x14ac:dyDescent="0.25">
      <c r="B156" s="70">
        <v>21</v>
      </c>
      <c r="C156" s="91">
        <v>2.535052354112826</v>
      </c>
      <c r="D156" s="91">
        <v>0.5</v>
      </c>
      <c r="E156" s="91">
        <v>11.793227391387772</v>
      </c>
      <c r="F156" s="91">
        <v>9.8520423198574747</v>
      </c>
      <c r="G156" s="91">
        <v>37.213438826870082</v>
      </c>
      <c r="H156" s="92">
        <v>318.9262237465361</v>
      </c>
    </row>
    <row r="157" spans="2:8" x14ac:dyDescent="0.25">
      <c r="B157" s="70">
        <v>24</v>
      </c>
      <c r="C157" s="91">
        <v>2.5344128725130308</v>
      </c>
      <c r="D157" s="91">
        <v>0.5</v>
      </c>
      <c r="E157" s="91">
        <v>11.408938070382179</v>
      </c>
      <c r="F157" s="91">
        <v>9.4715409881885417</v>
      </c>
      <c r="G157" s="91">
        <v>35.852087622956084</v>
      </c>
      <c r="H157" s="92">
        <v>287.61824680431118</v>
      </c>
    </row>
    <row r="158" spans="2:8" x14ac:dyDescent="0.25">
      <c r="B158" s="70">
        <v>27</v>
      </c>
      <c r="C158" s="91">
        <v>2.5332202013574845</v>
      </c>
      <c r="D158" s="91">
        <v>0.5</v>
      </c>
      <c r="E158" s="91">
        <v>10.992800358099055</v>
      </c>
      <c r="F158" s="91">
        <v>9.1198062361486656</v>
      </c>
      <c r="G158" s="91">
        <v>34.433769971417497</v>
      </c>
      <c r="H158" s="92">
        <v>256.35052557535681</v>
      </c>
    </row>
    <row r="159" spans="2:8" ht="15.75" thickBot="1" x14ac:dyDescent="0.3">
      <c r="B159" s="71">
        <v>30</v>
      </c>
      <c r="C159" s="94">
        <v>2.531142351252007</v>
      </c>
      <c r="D159" s="94">
        <v>0.5</v>
      </c>
      <c r="E159" s="94">
        <v>10.562910738181092</v>
      </c>
      <c r="F159" s="94">
        <v>8.7457925004897064</v>
      </c>
      <c r="G159" s="94">
        <v>32.950880871142459</v>
      </c>
      <c r="H159" s="96">
        <v>226.41706706049229</v>
      </c>
    </row>
    <row r="160" spans="2:8" ht="15.75" thickBot="1" x14ac:dyDescent="0.3">
      <c r="D160" s="75"/>
      <c r="E160" s="75"/>
      <c r="F160" s="75"/>
      <c r="G160" s="75"/>
      <c r="H160" s="75"/>
    </row>
    <row r="161" spans="2:9" ht="15.75" thickBot="1" x14ac:dyDescent="0.3">
      <c r="B161" s="13" t="s">
        <v>398</v>
      </c>
      <c r="C161" s="8" t="s">
        <v>250</v>
      </c>
      <c r="D161" s="104" t="s">
        <v>93</v>
      </c>
      <c r="E161" s="104" t="s">
        <v>94</v>
      </c>
      <c r="F161" s="104" t="s">
        <v>95</v>
      </c>
      <c r="G161" s="104" t="s">
        <v>96</v>
      </c>
      <c r="H161" s="10" t="s">
        <v>251</v>
      </c>
    </row>
    <row r="162" spans="2:9" x14ac:dyDescent="0.25">
      <c r="B162" s="105" t="s">
        <v>252</v>
      </c>
      <c r="C162" s="76" t="s">
        <v>259</v>
      </c>
      <c r="D162" s="77" cm="1">
        <f t="array" ref="D162:G162">LINEST(C149:C159,B149:B159^{1,2,3})</f>
        <v>-5.665949934283821E-7</v>
      </c>
      <c r="E162" s="77">
        <v>1.5970930092467604E-5</v>
      </c>
      <c r="F162" s="77">
        <v>-1.1579886301512793E-4</v>
      </c>
      <c r="G162" s="77">
        <v>2.5356894889327486</v>
      </c>
      <c r="H162" s="78">
        <f>IFERROR(RSQ(C149:C159,B149:B159),1)</f>
        <v>0.60226700118857457</v>
      </c>
    </row>
    <row r="163" spans="2:9" x14ac:dyDescent="0.25">
      <c r="B163" s="106" t="s">
        <v>253</v>
      </c>
      <c r="C163" s="79" t="s">
        <v>259</v>
      </c>
      <c r="D163" s="83" cm="1">
        <f t="array" ref="D163:G163">LINEST(D149:D159,B149:B159^{1,2,3})</f>
        <v>0</v>
      </c>
      <c r="E163" s="80">
        <v>0</v>
      </c>
      <c r="F163" s="80">
        <v>0</v>
      </c>
      <c r="G163" s="80">
        <v>0.5</v>
      </c>
      <c r="H163" s="81">
        <f>IFERROR(RSQ(D149:D159,B149:B159),1)</f>
        <v>1</v>
      </c>
    </row>
    <row r="164" spans="2:9" x14ac:dyDescent="0.25">
      <c r="B164" s="106" t="s">
        <v>257</v>
      </c>
      <c r="C164" s="79" t="s">
        <v>259</v>
      </c>
      <c r="D164" s="83" cm="1">
        <f t="array" ref="D164:G164">LINEST(E149:E159,B149:B159^{1,2,3})</f>
        <v>-8.3576799046871432E-6</v>
      </c>
      <c r="E164" s="102">
        <v>-2.1415992478925706E-4</v>
      </c>
      <c r="F164" s="80">
        <v>-0.10976725817240064</v>
      </c>
      <c r="G164" s="80">
        <v>14.276402927006012</v>
      </c>
      <c r="H164" s="81">
        <f>IFERROR(RSQ(E149:E159,B149:B159),1)</f>
        <v>0.99835017520806912</v>
      </c>
    </row>
    <row r="165" spans="2:9" x14ac:dyDescent="0.25">
      <c r="B165" s="106" t="s">
        <v>254</v>
      </c>
      <c r="C165" s="82" t="s">
        <v>259</v>
      </c>
      <c r="D165" s="80" cm="1">
        <f t="array" ref="D165:G165">LINEST(F149:F159,B149:B159^{1,2,3})</f>
        <v>-8.2440235797914062E-7</v>
      </c>
      <c r="E165" s="102">
        <v>-7.0346057456570008E-4</v>
      </c>
      <c r="F165" s="80">
        <v>-8.4095812388270602E-2</v>
      </c>
      <c r="G165" s="80">
        <v>11.920024887051717</v>
      </c>
      <c r="H165" s="81">
        <f>IFERROR(RSQ(E149:E159,B149:B159),1)</f>
        <v>0.99835017520806912</v>
      </c>
    </row>
    <row r="166" spans="2:9" x14ac:dyDescent="0.25">
      <c r="B166" s="106" t="s">
        <v>327</v>
      </c>
      <c r="C166" s="84" t="s">
        <v>259</v>
      </c>
      <c r="D166" s="103" cm="1">
        <f t="array" ref="D166:G166">LINEST(G149:G159,B149:B159^{1,2,3})</f>
        <v>-2.7101310446269037E-5</v>
      </c>
      <c r="E166" s="80">
        <v>-1.1082661607108965E-3</v>
      </c>
      <c r="F166" s="80">
        <v>-0.36339449910454408</v>
      </c>
      <c r="G166" s="80">
        <v>45.584267193279217</v>
      </c>
      <c r="H166" s="81">
        <f>IFERROR(RSQ(F149:F159,B149:B159),1)</f>
        <v>0.99642047952749335</v>
      </c>
    </row>
    <row r="167" spans="2:9" ht="15.75" thickBot="1" x14ac:dyDescent="0.3">
      <c r="B167" s="107" t="s">
        <v>258</v>
      </c>
      <c r="C167" s="85" t="s">
        <v>259</v>
      </c>
      <c r="D167" s="86" cm="1">
        <f t="array" ref="D167:G167">LINEST(H149:H159,B149:B159^{1,2,3})</f>
        <v>4.5722336148406459E-7</v>
      </c>
      <c r="E167" s="86">
        <v>5.9948523817351961E-2</v>
      </c>
      <c r="F167" s="86">
        <v>-13.369046855842722</v>
      </c>
      <c r="G167" s="86">
        <v>573.61340345276642</v>
      </c>
      <c r="H167" s="87">
        <f>IFERROR(RSQ(G149:G159,B149:B159),1)</f>
        <v>0.99782163360332621</v>
      </c>
    </row>
    <row r="168" spans="2:9" ht="15.75" thickBot="1" x14ac:dyDescent="0.3">
      <c r="D168" s="75"/>
      <c r="E168" s="75"/>
      <c r="F168" s="75"/>
      <c r="G168" s="75"/>
      <c r="H168" s="75"/>
    </row>
    <row r="169" spans="2:9" ht="15.75" thickBot="1" x14ac:dyDescent="0.3">
      <c r="B169" s="21"/>
      <c r="C169" s="9" t="s">
        <v>250</v>
      </c>
      <c r="D169" s="22" t="s">
        <v>337</v>
      </c>
      <c r="E169" s="22" t="s">
        <v>336</v>
      </c>
      <c r="F169" s="22" t="s">
        <v>262</v>
      </c>
      <c r="G169" s="22"/>
      <c r="H169" s="20"/>
      <c r="I169" s="50"/>
    </row>
    <row r="170" spans="2:9" ht="15.75" thickBot="1" x14ac:dyDescent="0.3">
      <c r="B170" s="89"/>
      <c r="C170" s="64" t="s">
        <v>259</v>
      </c>
      <c r="D170" s="100">
        <f>E170/C146</f>
        <v>39.617866403766811</v>
      </c>
      <c r="E170" s="100">
        <f>(1 / 4) * (C146 ^ 4) * (((-2)*(D163)*(G162)) + ((D164)*(G162)) - ((2)*(D162)*(G163))+((D162)*(G164))-((2)*(E163)*(F162))+((E164)*(F162))-((2)*(E162)*(F163))+((E162)*(F164)))+(1 / 5) * (C146 ^ 5) * (((-2)*(D163)*(F162))+((D164)*(F162))+((-2)*(D162)*(F163))+((D162)*(F164))+((E162)*((E164)-((2)*(E163)))))+((1/6)*(C146^6))*(((-2)*(D163)*(E162))+((D164)*(E162))+((D162)*((E164)-((2)*(E163)))))+((1/7)*(D162)*((D164)-((2)*(D163)))*(C146^7))+(1/3)*(C146^3)*(((-2)*(E163)*(G162))+((E164)*(G162))-((2)*(E162)*(G163))+((E162)*(G164))+((F162)*((F164)-((2)*(F163)))))+(1/2)*(C146^2)*(((-2)*(F163)*(G162))+((F164)*(G162))+((F162)*((G164)-((2)*(G163)))))-((G162)*(((2)*(G163))-(G164))*(C146))+(1/2)*(C146^4)*(((D165)*(G163))+((D163)*(G165))+((E165)*(F163))+((E163)*(F165)))+(2/5)*(C146^5)*(((D165)*(F163))+((D163)*(F165))+((E163)*(E165)))+(1/3)*(C146^6)*(((D165)*(E163))+((D163)*(E165)))+(2/7)*(C146^7)*(D163)*(D165)+(2/3)*(C146^3)*(((E165)*(G163))+((E163)*(G165))+((F163)*(F165)))+(C146^2)*(((F165)*(G163))+((F163)*(G165)))+(2)*(G163)*(G165)*(C146)</f>
        <v>1188.5359921130043</v>
      </c>
      <c r="F170" s="100">
        <f>E170*C25</f>
        <v>337.54422176009319</v>
      </c>
      <c r="G170" s="100"/>
      <c r="H170" s="101"/>
      <c r="I170" s="7"/>
    </row>
    <row r="171" spans="2:9" x14ac:dyDescent="0.25">
      <c r="I171" s="50"/>
    </row>
    <row r="172" spans="2:9" x14ac:dyDescent="0.25">
      <c r="I172" s="50"/>
    </row>
    <row r="173" spans="2:9" x14ac:dyDescent="0.25">
      <c r="I173" s="50"/>
    </row>
    <row r="174" spans="2:9" ht="15.75" thickBot="1" x14ac:dyDescent="0.3">
      <c r="B174" s="113">
        <f>D176</f>
        <v>198</v>
      </c>
      <c r="C174">
        <f>C18</f>
        <v>2.5355727870330917</v>
      </c>
      <c r="D174">
        <f>C19</f>
        <v>0.5</v>
      </c>
      <c r="E174">
        <f>C20</f>
        <v>14.263049270073461</v>
      </c>
      <c r="F174">
        <f>C21</f>
        <v>11.952825368992725</v>
      </c>
      <c r="G174">
        <f>D44</f>
        <v>45.582252171270106</v>
      </c>
      <c r="H174" s="50">
        <f>((C54 * ((E54 - (2 * D54)) ^ 3)) / 12) + (2 * (((F54 * (D54 ^ 3)) / 12) + ((F54 * D54) * ((((E54 - (2 * D54)) + D54) / 2) ^ 2)))) / (E54 / 2)</f>
        <v>572.38022841241718</v>
      </c>
      <c r="I174" s="50"/>
    </row>
    <row r="175" spans="2:9" ht="15.75" thickBot="1" x14ac:dyDescent="0.3">
      <c r="B175" s="21" t="s">
        <v>338</v>
      </c>
      <c r="C175" s="22" t="s">
        <v>339</v>
      </c>
      <c r="D175" s="22" t="s">
        <v>340</v>
      </c>
      <c r="E175" s="22" t="s">
        <v>341</v>
      </c>
      <c r="F175" s="22" t="s">
        <v>342</v>
      </c>
      <c r="G175" s="22"/>
      <c r="H175" s="20"/>
      <c r="I175" s="50"/>
    </row>
    <row r="176" spans="2:9" ht="15.75" thickBot="1" x14ac:dyDescent="0.3">
      <c r="B176" s="89">
        <v>5</v>
      </c>
      <c r="C176" s="110">
        <v>42</v>
      </c>
      <c r="D176" s="110">
        <v>198</v>
      </c>
      <c r="E176" s="110">
        <f>D176+C176</f>
        <v>240</v>
      </c>
      <c r="F176" s="111">
        <f>ROUND(C176/10,0)</f>
        <v>4</v>
      </c>
      <c r="G176" s="108"/>
      <c r="H176" s="109"/>
    </row>
    <row r="177" spans="2:8" ht="15.75" thickBot="1" x14ac:dyDescent="0.3"/>
    <row r="178" spans="2:8" ht="15.75" thickBot="1" x14ac:dyDescent="0.3">
      <c r="B178" s="13" t="s">
        <v>348</v>
      </c>
      <c r="C178" s="104" t="s">
        <v>329</v>
      </c>
      <c r="D178" s="104" t="s">
        <v>330</v>
      </c>
      <c r="E178" s="104" t="s">
        <v>331</v>
      </c>
      <c r="F178" s="104" t="s">
        <v>332</v>
      </c>
      <c r="G178" s="104" t="s">
        <v>333</v>
      </c>
      <c r="H178" s="10" t="s">
        <v>334</v>
      </c>
    </row>
    <row r="179" spans="2:8" x14ac:dyDescent="0.25">
      <c r="B179" s="88">
        <v>0</v>
      </c>
      <c r="C179" s="97">
        <v>2.5311423512520062</v>
      </c>
      <c r="D179" s="97">
        <v>0.5</v>
      </c>
      <c r="E179" s="97">
        <v>10.555833398220839</v>
      </c>
      <c r="F179" s="97">
        <v>8.763691961677047</v>
      </c>
      <c r="G179" s="97">
        <v>32.95086657742219</v>
      </c>
      <c r="H179" s="99">
        <v>226.06276896888301</v>
      </c>
    </row>
    <row r="180" spans="2:8" x14ac:dyDescent="0.25">
      <c r="B180" s="70">
        <v>5</v>
      </c>
      <c r="C180" s="91">
        <v>2.5243709775908996</v>
      </c>
      <c r="D180" s="91">
        <v>0.5</v>
      </c>
      <c r="E180" s="91">
        <v>9.806903519130449</v>
      </c>
      <c r="F180" s="91">
        <v>8.0794410594396933</v>
      </c>
      <c r="G180" s="91">
        <v>30.311332705575758</v>
      </c>
      <c r="H180" s="92">
        <v>179.40973489286489</v>
      </c>
    </row>
    <row r="181" spans="2:8" x14ac:dyDescent="0.25">
      <c r="B181" s="70">
        <v>10</v>
      </c>
      <c r="C181" s="91">
        <v>2.5104755706651951</v>
      </c>
      <c r="D181" s="91">
        <v>0.5</v>
      </c>
      <c r="E181" s="91">
        <v>8.9910968887613123</v>
      </c>
      <c r="F181" s="91">
        <v>7.3576950775687431</v>
      </c>
      <c r="G181" s="91">
        <v>27.419148599622662</v>
      </c>
      <c r="H181" s="92">
        <v>136.29082115031758</v>
      </c>
    </row>
    <row r="182" spans="2:8" x14ac:dyDescent="0.25">
      <c r="B182" s="70">
        <v>15</v>
      </c>
      <c r="C182" s="91">
        <v>2.4841600537028068</v>
      </c>
      <c r="D182" s="91">
        <v>0.5</v>
      </c>
      <c r="E182" s="91">
        <v>8.1128592043256749</v>
      </c>
      <c r="F182" s="91">
        <v>6.5483003117428087</v>
      </c>
      <c r="G182" s="91">
        <v>24.217781014740979</v>
      </c>
      <c r="H182" s="92">
        <v>97.918752830762003</v>
      </c>
    </row>
    <row r="183" spans="2:8" x14ac:dyDescent="0.25">
      <c r="B183" s="70">
        <v>20</v>
      </c>
      <c r="C183" s="91">
        <v>2.4369962636833056</v>
      </c>
      <c r="D183" s="91">
        <v>0.5</v>
      </c>
      <c r="E183" s="91">
        <v>7.1532996240261335</v>
      </c>
      <c r="F183" s="91">
        <v>5.6494110811984557</v>
      </c>
      <c r="G183" s="91">
        <v>20.644979274274032</v>
      </c>
      <c r="H183" s="92">
        <v>64.827773535319281</v>
      </c>
    </row>
    <row r="184" spans="2:8" x14ac:dyDescent="0.25">
      <c r="B184" s="70">
        <v>25</v>
      </c>
      <c r="C184" s="91">
        <v>2.3550990506369018</v>
      </c>
      <c r="D184" s="91">
        <v>0.5</v>
      </c>
      <c r="E184" s="91">
        <v>6.0911691184444487</v>
      </c>
      <c r="F184" s="91">
        <v>4.648394981964894</v>
      </c>
      <c r="G184" s="91">
        <v>16.638602539445326</v>
      </c>
      <c r="H184" s="92">
        <v>37.858923263283884</v>
      </c>
    </row>
    <row r="185" spans="2:8" x14ac:dyDescent="0.25">
      <c r="B185" s="70">
        <v>30</v>
      </c>
      <c r="C185" s="91">
        <v>2.2132926327269602</v>
      </c>
      <c r="D185" s="91">
        <v>0.5</v>
      </c>
      <c r="E185" s="91">
        <v>4.6890513082695371</v>
      </c>
      <c r="F185" s="91">
        <v>3.9999999999999996</v>
      </c>
      <c r="G185" s="91">
        <v>12.164950082344721</v>
      </c>
      <c r="H185" s="92">
        <v>16.780079330874671</v>
      </c>
    </row>
    <row r="186" spans="2:8" x14ac:dyDescent="0.25">
      <c r="B186" s="70">
        <v>35</v>
      </c>
      <c r="C186" s="91">
        <v>1.9553915358734304</v>
      </c>
      <c r="D186" s="117">
        <v>0.5</v>
      </c>
      <c r="E186" s="117">
        <v>4</v>
      </c>
      <c r="F186" s="117">
        <v>3.9999999999999996</v>
      </c>
      <c r="G186" s="117">
        <v>9.866174607620291</v>
      </c>
      <c r="H186" s="118">
        <v>10.566297622381885</v>
      </c>
    </row>
    <row r="187" spans="2:8" x14ac:dyDescent="0.25">
      <c r="B187" s="70">
        <v>0</v>
      </c>
      <c r="C187" s="91">
        <v>2.5311423512520062</v>
      </c>
      <c r="D187" s="91">
        <v>0.5</v>
      </c>
      <c r="E187" s="91">
        <v>10.555833398220839</v>
      </c>
      <c r="F187" s="91">
        <v>8.763691961677047</v>
      </c>
      <c r="G187" s="91">
        <v>32.95086657742219</v>
      </c>
      <c r="H187" s="92">
        <v>226.06276896888301</v>
      </c>
    </row>
    <row r="188" spans="2:8" x14ac:dyDescent="0.25">
      <c r="B188" s="70">
        <v>0</v>
      </c>
      <c r="C188" s="91">
        <v>2.5311423512520062</v>
      </c>
      <c r="D188" s="91">
        <v>0.5</v>
      </c>
      <c r="E188" s="91">
        <v>10.555833398220839</v>
      </c>
      <c r="F188" s="91">
        <v>8.763691961677047</v>
      </c>
      <c r="G188" s="91">
        <v>32.95086657742219</v>
      </c>
      <c r="H188" s="92">
        <v>226.06276896888301</v>
      </c>
    </row>
    <row r="189" spans="2:8" ht="15.75" thickBot="1" x14ac:dyDescent="0.3">
      <c r="B189" s="71">
        <v>0</v>
      </c>
      <c r="C189" s="94">
        <v>2.5311423512520062</v>
      </c>
      <c r="D189" s="94">
        <v>0.5</v>
      </c>
      <c r="E189" s="94">
        <v>10.555833398220839</v>
      </c>
      <c r="F189" s="94">
        <v>8.763691961677047</v>
      </c>
      <c r="G189" s="94">
        <v>32.95086657742219</v>
      </c>
      <c r="H189" s="96">
        <v>226.06276896888301</v>
      </c>
    </row>
    <row r="190" spans="2:8" ht="15.75" thickBot="1" x14ac:dyDescent="0.3">
      <c r="D190" s="75"/>
      <c r="E190" s="75"/>
      <c r="F190" s="75"/>
      <c r="G190" s="75"/>
      <c r="H190" s="75"/>
    </row>
    <row r="191" spans="2:8" ht="15.75" thickBot="1" x14ac:dyDescent="0.3">
      <c r="B191" s="13" t="s">
        <v>399</v>
      </c>
      <c r="C191" s="8" t="s">
        <v>250</v>
      </c>
      <c r="D191" s="104" t="s">
        <v>93</v>
      </c>
      <c r="E191" s="104" t="s">
        <v>94</v>
      </c>
      <c r="F191" s="104" t="s">
        <v>95</v>
      </c>
      <c r="G191" s="104" t="s">
        <v>96</v>
      </c>
      <c r="H191" s="10" t="s">
        <v>251</v>
      </c>
    </row>
    <row r="192" spans="2:8" x14ac:dyDescent="0.25">
      <c r="B192" s="105" t="s">
        <v>252</v>
      </c>
      <c r="C192" s="76" t="s">
        <v>259</v>
      </c>
      <c r="D192" s="77" cm="1">
        <f t="array" ref="D192:G192">LINEST(C179:C189,B179:B189^{1,2,3})</f>
        <v>-2.4600129710828306E-5</v>
      </c>
      <c r="E192" s="77">
        <v>5.5647462338307807E-4</v>
      </c>
      <c r="F192" s="77">
        <v>-5.6410108168750139E-3</v>
      </c>
      <c r="G192" s="77">
        <v>2.5324771394609487</v>
      </c>
      <c r="H192" s="78">
        <f>IFERROR(RSQ(C179:C189,B179:B189),1)</f>
        <v>0.77610634298364989</v>
      </c>
    </row>
    <row r="193" spans="2:9" x14ac:dyDescent="0.25">
      <c r="B193" s="106" t="s">
        <v>253</v>
      </c>
      <c r="C193" s="79" t="s">
        <v>259</v>
      </c>
      <c r="D193" s="83" cm="1">
        <f t="array" ref="D193:G193">LINEST(D179:D189,B179:B189^{1,2,3})</f>
        <v>0</v>
      </c>
      <c r="E193" s="80">
        <v>0</v>
      </c>
      <c r="F193" s="80">
        <v>0</v>
      </c>
      <c r="G193" s="80">
        <v>0.5</v>
      </c>
      <c r="H193" s="81">
        <f>IFERROR(RSQ(D179:D189,B179:B189),1)</f>
        <v>1</v>
      </c>
    </row>
    <row r="194" spans="2:9" x14ac:dyDescent="0.25">
      <c r="B194" s="106" t="s">
        <v>257</v>
      </c>
      <c r="C194" s="79" t="s">
        <v>259</v>
      </c>
      <c r="D194" s="83" cm="1">
        <f t="array" ref="D194:G194">LINEST(E179:E189,B179:B189^{1,2,3})</f>
        <v>5.3209816648299194E-5</v>
      </c>
      <c r="E194" s="102">
        <v>-3.9716318199037783E-3</v>
      </c>
      <c r="F194" s="80">
        <v>-0.11595120451768591</v>
      </c>
      <c r="G194" s="80">
        <v>10.544275566040621</v>
      </c>
      <c r="H194" s="81">
        <f>IFERROR(RSQ(E179:E189,B179:B189),1)</f>
        <v>0.99399326448114755</v>
      </c>
    </row>
    <row r="195" spans="2:9" x14ac:dyDescent="0.25">
      <c r="B195" s="106" t="s">
        <v>254</v>
      </c>
      <c r="C195" s="82" t="s">
        <v>259</v>
      </c>
      <c r="D195" s="80" cm="1">
        <f t="array" ref="D195:G195">LINEST(F179:F189,B179:B189^{1,2,3})</f>
        <v>1.6860884492511498E-4</v>
      </c>
      <c r="E195" s="102">
        <v>-7.7125715608547885E-3</v>
      </c>
      <c r="F195" s="80">
        <v>-7.4285954293059078E-2</v>
      </c>
      <c r="G195" s="80">
        <v>8.7462161472710473</v>
      </c>
      <c r="H195" s="81">
        <f>IFERROR(RSQ(E179:E189,B179:B189),1)</f>
        <v>0.99399326448114755</v>
      </c>
    </row>
    <row r="196" spans="2:9" x14ac:dyDescent="0.25">
      <c r="B196" s="106" t="s">
        <v>327</v>
      </c>
      <c r="C196" s="84" t="s">
        <v>259</v>
      </c>
      <c r="D196" s="103" cm="1">
        <f t="array" ref="D196:G196">LINEST(G179:G189,B179:B189^{1,2,3})</f>
        <v>2.9040560630767169E-4</v>
      </c>
      <c r="E196" s="80">
        <v>-1.8423738217130576E-2</v>
      </c>
      <c r="F196" s="80">
        <v>-0.37767231509168558</v>
      </c>
      <c r="G196" s="80">
        <v>32.905808507995786</v>
      </c>
      <c r="H196" s="81">
        <f>IFERROR(RSQ(F179:F189,B179:B189),1)</f>
        <v>0.98805184578014582</v>
      </c>
    </row>
    <row r="197" spans="2:9" ht="15.75" thickBot="1" x14ac:dyDescent="0.3">
      <c r="B197" s="107" t="s">
        <v>258</v>
      </c>
      <c r="C197" s="85" t="s">
        <v>259</v>
      </c>
      <c r="D197" s="86" cm="1">
        <f t="array" ref="D197:G197">LINEST(H179:H189,B179:B189^{1,2,3})</f>
        <v>1.834468238751706E-3</v>
      </c>
      <c r="E197" s="86">
        <v>2.7160521978197689E-2</v>
      </c>
      <c r="F197" s="86">
        <v>-9.374955014881861</v>
      </c>
      <c r="G197" s="86">
        <v>225.9597678421307</v>
      </c>
      <c r="H197" s="87">
        <f>IFERROR(RSQ(G179:G189,B179:B189),1)</f>
        <v>0.9950354002415619</v>
      </c>
    </row>
    <row r="198" spans="2:9" ht="15.75" thickBot="1" x14ac:dyDescent="0.3">
      <c r="D198" s="75"/>
      <c r="E198" s="75"/>
      <c r="F198" s="75"/>
      <c r="G198" s="75"/>
      <c r="H198" s="75"/>
    </row>
    <row r="199" spans="2:9" ht="15.75" thickBot="1" x14ac:dyDescent="0.3">
      <c r="B199" s="21"/>
      <c r="C199" s="9" t="s">
        <v>250</v>
      </c>
      <c r="D199" s="22" t="s">
        <v>337</v>
      </c>
      <c r="E199" s="22" t="s">
        <v>336</v>
      </c>
      <c r="F199" s="22" t="s">
        <v>262</v>
      </c>
      <c r="G199" s="22"/>
      <c r="H199" s="20"/>
    </row>
    <row r="200" spans="2:9" ht="15.75" thickBot="1" x14ac:dyDescent="0.3">
      <c r="B200" s="89"/>
      <c r="C200" s="64" t="s">
        <v>259</v>
      </c>
      <c r="D200" s="100">
        <f>E200/C176</f>
        <v>19.567685545334214</v>
      </c>
      <c r="E200" s="100">
        <f>(1 / 4) * (C176 ^ 4) * (((-2)*(D193)*(G192)) + ((D194)*(G192)) - ((2)*(D192)*(G193))+((D192)*(G194))-((2)*(E193)*(F192))+((E194)*(F192))-((2)*(E192)*(F193))+((E192)*(F194)))+(1 / 5) * (C176 ^ 5) * (((-2)*(D193)*(F192))+((D194)*(F192))+((-2)*(D192)*(F193))+((D192)*(F194))+((E192)*((E194)-((2)*(E193)))))+((1/6)*(C176^6))*(((-2)*(D193)*(E192))+((D194)*(E192))+((D192)*((E194)-((2)*(E193)))))+((1/7)*(D192)*((D194)-((2)*(D193)))*(C176^7))+(1/3)*(C176^3)*(((-2)*(E193)*(G192))+((E194)*(G192))-((2)*(E192)*(G193))+((E192)*(G194))+((F192)*((F194)-((2)*(F193)))))+(1/2)*(C176^2)*(((-2)*(F193)*(G192))+((F194)*(G192))+((F192)*((G194)-((2)*(G193)))))-((G192)*(((2)*(G193))-(G194))*(C176))+(1/2)*(C176^4)*(((D195)*(G193))+((D193)*(G195))+((E195)*(F193))+((E193)*(F195)))+(2/5)*(C176^5)*(((D195)*(F193))+((D193)*(F195))+((E193)*(E195)))+(1/3)*(C176^6)*(((D195)*(E193))+((D193)*(E195)))+(2/7)*(C176^7)*(D193)*(D195)+(2/3)*(C176^3)*(((E195)*(G193))+((E193)*(G195))+((F193)*(F195)))+(C176^2)*(((F195)*(G193))+((F193)*(G195)))+(2)*(G193)*(G195)*(C176)</f>
        <v>821.84279290403697</v>
      </c>
      <c r="F200" s="100">
        <f>E200*C25</f>
        <v>233.40335318474646</v>
      </c>
      <c r="G200" s="100"/>
      <c r="H200" s="101"/>
    </row>
    <row r="205" spans="2:9" ht="15.75" thickBot="1" x14ac:dyDescent="0.3">
      <c r="B205" s="3" t="s">
        <v>343</v>
      </c>
    </row>
    <row r="206" spans="2:9" ht="15.75" thickBot="1" x14ac:dyDescent="0.3">
      <c r="B206" s="21" t="s">
        <v>349</v>
      </c>
      <c r="C206" s="22" t="s">
        <v>329</v>
      </c>
      <c r="D206" s="22" t="s">
        <v>330</v>
      </c>
      <c r="E206" s="22" t="s">
        <v>331</v>
      </c>
      <c r="F206" s="22" t="s">
        <v>332</v>
      </c>
      <c r="G206" s="22" t="s">
        <v>333</v>
      </c>
      <c r="H206" s="22" t="s">
        <v>334</v>
      </c>
      <c r="I206" s="120" t="s">
        <v>344</v>
      </c>
    </row>
    <row r="207" spans="2:9" x14ac:dyDescent="0.25">
      <c r="B207" s="70">
        <v>0</v>
      </c>
      <c r="C207" s="121">
        <f t="shared" ref="C207:C238" si="0">($D$72*$B207^3)+($E$72*$B207^2)+($F$72*$B207)+($G$72)</f>
        <v>4.2535539234978197</v>
      </c>
      <c r="D207" s="112">
        <f t="shared" ref="D207:D238" si="1">($D$73*$B207^3)+($E$73*$B207^2)+($F$73*$B207)+($G$73)</f>
        <v>0.5</v>
      </c>
      <c r="E207" s="97">
        <f>($D$74*$B207^3)+($E$74*$B207^2)+($F$74*$B207)+($G$74)</f>
        <v>35.441439772789764</v>
      </c>
      <c r="F207" s="97">
        <f>($D$75*$B207^3)+($E$75*$B207^2)+($F$75*$B207)+($G$75)</f>
        <v>49.285376955948266</v>
      </c>
      <c r="G207" s="97">
        <f>($D$76*$B207^3)+($E$76*$B207^2)+($F$76*$B207)+($G$76)</f>
        <v>195.78389823241207</v>
      </c>
      <c r="H207" s="97">
        <f>($D$77*$B207^3)+($E$77*$B207^2)+($F$77*$B207)+($G$77)</f>
        <v>15331.169671803988</v>
      </c>
      <c r="I207" s="124">
        <v>1</v>
      </c>
    </row>
    <row r="208" spans="2:9" x14ac:dyDescent="0.25">
      <c r="B208" s="70">
        <v>1</v>
      </c>
      <c r="C208" s="122">
        <f t="shared" si="0"/>
        <v>4.2535539234978197</v>
      </c>
      <c r="D208" s="128">
        <f t="shared" si="1"/>
        <v>0.5</v>
      </c>
      <c r="E208" s="119">
        <f>($D$74*$B208^3)+($E$74*$B208^2)+($F$74*$B208)+($G$74)</f>
        <v>35.328762569949198</v>
      </c>
      <c r="F208" s="119">
        <f t="shared" ref="F208:F267" si="2">($D$75*$B208^3)+($E$75*$B208^2)+($F$75*$B208)+($G$75)</f>
        <v>49.103657498779135</v>
      </c>
      <c r="G208" s="119">
        <f t="shared" ref="G208:G267" si="3">($D$76*$B208^3)+($E$76*$B208^2)+($F$76*$B208)+($G$76)</f>
        <v>195.1229002170117</v>
      </c>
      <c r="H208" s="119">
        <f t="shared" ref="H208:H267" si="4">($D$77*$B208^3)+($E$77*$B208^2)+($F$77*$B208)+($G$77)</f>
        <v>15183.341848423383</v>
      </c>
      <c r="I208" s="125">
        <v>1</v>
      </c>
    </row>
    <row r="209" spans="2:9" x14ac:dyDescent="0.25">
      <c r="B209" s="70">
        <v>2</v>
      </c>
      <c r="C209" s="122">
        <f t="shared" si="0"/>
        <v>4.2535539234978197</v>
      </c>
      <c r="D209" s="128">
        <f t="shared" si="1"/>
        <v>0.5</v>
      </c>
      <c r="E209" s="119">
        <f t="shared" ref="E209:E267" si="5">($D$74*$B209^3)+($E$74*$B209^2)+($F$74*$B209)+($G$74)</f>
        <v>35.215464491730032</v>
      </c>
      <c r="F209" s="119">
        <f t="shared" si="2"/>
        <v>48.922581007777922</v>
      </c>
      <c r="G209" s="119">
        <f t="shared" si="3"/>
        <v>194.45990424087654</v>
      </c>
      <c r="H209" s="119">
        <f t="shared" si="4"/>
        <v>15035.72112242575</v>
      </c>
      <c r="I209" s="125">
        <v>1</v>
      </c>
    </row>
    <row r="210" spans="2:9" x14ac:dyDescent="0.25">
      <c r="B210" s="70">
        <v>3</v>
      </c>
      <c r="C210" s="122">
        <f t="shared" si="0"/>
        <v>4.2535539234978197</v>
      </c>
      <c r="D210" s="128">
        <f t="shared" si="1"/>
        <v>0.5</v>
      </c>
      <c r="E210" s="119">
        <f t="shared" si="5"/>
        <v>35.101546990408131</v>
      </c>
      <c r="F210" s="119">
        <f t="shared" si="2"/>
        <v>48.742099772888693</v>
      </c>
      <c r="G210" s="119">
        <f t="shared" si="3"/>
        <v>193.79486877128448</v>
      </c>
      <c r="H210" s="119">
        <f t="shared" si="4"/>
        <v>14888.318361719817</v>
      </c>
      <c r="I210" s="125">
        <v>1</v>
      </c>
    </row>
    <row r="211" spans="2:9" x14ac:dyDescent="0.25">
      <c r="B211" s="70">
        <v>4</v>
      </c>
      <c r="C211" s="122">
        <f t="shared" si="0"/>
        <v>4.2535539234978197</v>
      </c>
      <c r="D211" s="128">
        <f t="shared" si="1"/>
        <v>0.5</v>
      </c>
      <c r="E211" s="119">
        <f t="shared" si="5"/>
        <v>34.987011518259372</v>
      </c>
      <c r="F211" s="119">
        <f t="shared" si="2"/>
        <v>48.562166084055519</v>
      </c>
      <c r="G211" s="119">
        <f t="shared" si="3"/>
        <v>193.12775227551327</v>
      </c>
      <c r="H211" s="119">
        <f t="shared" si="4"/>
        <v>14741.144434214311</v>
      </c>
      <c r="I211" s="125">
        <v>1</v>
      </c>
    </row>
    <row r="212" spans="2:9" x14ac:dyDescent="0.25">
      <c r="B212" s="70">
        <v>5</v>
      </c>
      <c r="C212" s="122">
        <f t="shared" si="0"/>
        <v>4.2535539234978197</v>
      </c>
      <c r="D212" s="128">
        <f t="shared" si="1"/>
        <v>0.5</v>
      </c>
      <c r="E212" s="119">
        <f t="shared" si="5"/>
        <v>34.871859527559643</v>
      </c>
      <c r="F212" s="119">
        <f t="shared" si="2"/>
        <v>48.382732231222469</v>
      </c>
      <c r="G212" s="119">
        <f t="shared" si="3"/>
        <v>192.45851322084079</v>
      </c>
      <c r="H212" s="119">
        <f t="shared" si="4"/>
        <v>14594.210207817954</v>
      </c>
      <c r="I212" s="125">
        <v>1</v>
      </c>
    </row>
    <row r="213" spans="2:9" x14ac:dyDescent="0.25">
      <c r="B213" s="70">
        <v>6</v>
      </c>
      <c r="C213" s="122">
        <f t="shared" si="0"/>
        <v>4.2535539234978197</v>
      </c>
      <c r="D213" s="128">
        <f t="shared" si="1"/>
        <v>0.5</v>
      </c>
      <c r="E213" s="119">
        <f t="shared" si="5"/>
        <v>34.756092470584811</v>
      </c>
      <c r="F213" s="119">
        <f t="shared" si="2"/>
        <v>48.203750504333613</v>
      </c>
      <c r="G213" s="119">
        <f t="shared" si="3"/>
        <v>191.78711007454484</v>
      </c>
      <c r="H213" s="119">
        <f t="shared" si="4"/>
        <v>14447.526550439476</v>
      </c>
      <c r="I213" s="125">
        <v>1</v>
      </c>
    </row>
    <row r="214" spans="2:9" x14ac:dyDescent="0.25">
      <c r="B214" s="70">
        <v>7</v>
      </c>
      <c r="C214" s="122">
        <f t="shared" si="0"/>
        <v>4.2535539234978197</v>
      </c>
      <c r="D214" s="128">
        <f t="shared" si="1"/>
        <v>0.5</v>
      </c>
      <c r="E214" s="119">
        <f t="shared" si="5"/>
        <v>34.639711799610751</v>
      </c>
      <c r="F214" s="119">
        <f t="shared" si="2"/>
        <v>48.025173193333025</v>
      </c>
      <c r="G214" s="119">
        <f t="shared" si="3"/>
        <v>191.11350130390323</v>
      </c>
      <c r="H214" s="119">
        <f t="shared" si="4"/>
        <v>14301.1043299876</v>
      </c>
      <c r="I214" s="125">
        <v>1</v>
      </c>
    </row>
    <row r="215" spans="2:9" x14ac:dyDescent="0.25">
      <c r="B215" s="70">
        <v>8</v>
      </c>
      <c r="C215" s="122">
        <f t="shared" si="0"/>
        <v>4.2535539234978197</v>
      </c>
      <c r="D215" s="128">
        <f t="shared" si="1"/>
        <v>0.5</v>
      </c>
      <c r="E215" s="119">
        <f t="shared" si="5"/>
        <v>34.522718966913345</v>
      </c>
      <c r="F215" s="119">
        <f t="shared" si="2"/>
        <v>47.846952588164761</v>
      </c>
      <c r="G215" s="119">
        <f t="shared" si="3"/>
        <v>190.43764537619379</v>
      </c>
      <c r="H215" s="119">
        <f t="shared" si="4"/>
        <v>14154.954414371054</v>
      </c>
      <c r="I215" s="125">
        <v>1</v>
      </c>
    </row>
    <row r="216" spans="2:9" x14ac:dyDescent="0.25">
      <c r="B216" s="70">
        <v>9</v>
      </c>
      <c r="C216" s="122">
        <f t="shared" si="0"/>
        <v>4.2535539234978197</v>
      </c>
      <c r="D216" s="128">
        <f t="shared" si="1"/>
        <v>0.5</v>
      </c>
      <c r="E216" s="119">
        <f t="shared" si="5"/>
        <v>34.405115424768468</v>
      </c>
      <c r="F216" s="119">
        <f t="shared" si="2"/>
        <v>47.669040978772905</v>
      </c>
      <c r="G216" s="119">
        <f t="shared" si="3"/>
        <v>189.75950075869434</v>
      </c>
      <c r="H216" s="119">
        <f t="shared" si="4"/>
        <v>14009.087671498562</v>
      </c>
      <c r="I216" s="125">
        <v>1</v>
      </c>
    </row>
    <row r="217" spans="2:9" x14ac:dyDescent="0.25">
      <c r="B217" s="70">
        <v>10</v>
      </c>
      <c r="C217" s="122">
        <f t="shared" si="0"/>
        <v>4.2535539234978188</v>
      </c>
      <c r="D217" s="128">
        <f t="shared" si="1"/>
        <v>0.5</v>
      </c>
      <c r="E217" s="119">
        <f t="shared" si="5"/>
        <v>34.286902625451994</v>
      </c>
      <c r="F217" s="119">
        <f t="shared" si="2"/>
        <v>47.491390655101512</v>
      </c>
      <c r="G217" s="119">
        <f t="shared" si="3"/>
        <v>189.0790259186827</v>
      </c>
      <c r="H217" s="119">
        <f t="shared" si="4"/>
        <v>13863.514969278853</v>
      </c>
      <c r="I217" s="125">
        <v>1</v>
      </c>
    </row>
    <row r="218" spans="2:9" x14ac:dyDescent="0.25">
      <c r="B218" s="70">
        <v>11</v>
      </c>
      <c r="C218" s="122">
        <f t="shared" si="0"/>
        <v>4.2535539234978188</v>
      </c>
      <c r="D218" s="128">
        <f t="shared" si="1"/>
        <v>0.5</v>
      </c>
      <c r="E218" s="119">
        <f t="shared" si="5"/>
        <v>34.168082021239805</v>
      </c>
      <c r="F218" s="119">
        <f t="shared" si="2"/>
        <v>47.313953907094664</v>
      </c>
      <c r="G218" s="119">
        <f t="shared" si="3"/>
        <v>188.39617932343671</v>
      </c>
      <c r="H218" s="119">
        <f t="shared" si="4"/>
        <v>13718.247175620649</v>
      </c>
      <c r="I218" s="125">
        <v>1</v>
      </c>
    </row>
    <row r="219" spans="2:9" x14ac:dyDescent="0.25">
      <c r="B219" s="70">
        <v>12</v>
      </c>
      <c r="C219" s="122">
        <f t="shared" si="0"/>
        <v>4.2535539234978188</v>
      </c>
      <c r="D219" s="128">
        <f t="shared" si="1"/>
        <v>0.5</v>
      </c>
      <c r="E219" s="119">
        <f t="shared" si="5"/>
        <v>34.048655064407768</v>
      </c>
      <c r="F219" s="119">
        <f t="shared" si="2"/>
        <v>47.136683024696424</v>
      </c>
      <c r="G219" s="119">
        <f t="shared" si="3"/>
        <v>187.71091944023416</v>
      </c>
      <c r="H219" s="119">
        <f t="shared" si="4"/>
        <v>13573.295158432678</v>
      </c>
      <c r="I219" s="125">
        <v>1</v>
      </c>
    </row>
    <row r="220" spans="2:9" x14ac:dyDescent="0.25">
      <c r="B220" s="70">
        <v>13</v>
      </c>
      <c r="C220" s="122">
        <f t="shared" si="0"/>
        <v>4.2535539234978188</v>
      </c>
      <c r="D220" s="128">
        <f t="shared" si="1"/>
        <v>0.5</v>
      </c>
      <c r="E220" s="119">
        <f t="shared" si="5"/>
        <v>33.928623207231773</v>
      </c>
      <c r="F220" s="119">
        <f t="shared" si="2"/>
        <v>46.959530297850854</v>
      </c>
      <c r="G220" s="119">
        <f t="shared" si="3"/>
        <v>187.02320473635291</v>
      </c>
      <c r="H220" s="119">
        <f t="shared" si="4"/>
        <v>13428.669785623666</v>
      </c>
      <c r="I220" s="125">
        <v>1</v>
      </c>
    </row>
    <row r="221" spans="2:9" x14ac:dyDescent="0.25">
      <c r="B221" s="70">
        <v>14</v>
      </c>
      <c r="C221" s="122">
        <f t="shared" si="0"/>
        <v>4.2535539234978188</v>
      </c>
      <c r="D221" s="128">
        <f t="shared" si="1"/>
        <v>0.5</v>
      </c>
      <c r="E221" s="119">
        <f t="shared" si="5"/>
        <v>33.807987901987687</v>
      </c>
      <c r="F221" s="119">
        <f t="shared" si="2"/>
        <v>46.782448016502038</v>
      </c>
      <c r="G221" s="119">
        <f t="shared" si="3"/>
        <v>186.33299367907074</v>
      </c>
      <c r="H221" s="119">
        <f t="shared" si="4"/>
        <v>13284.381925102338</v>
      </c>
      <c r="I221" s="125">
        <v>1</v>
      </c>
    </row>
    <row r="222" spans="2:9" x14ac:dyDescent="0.25">
      <c r="B222" s="70">
        <v>15</v>
      </c>
      <c r="C222" s="122">
        <f t="shared" si="0"/>
        <v>4.2535539234978188</v>
      </c>
      <c r="D222" s="128">
        <f t="shared" si="1"/>
        <v>0.5</v>
      </c>
      <c r="E222" s="119">
        <f t="shared" si="5"/>
        <v>33.686750600951385</v>
      </c>
      <c r="F222" s="119">
        <f t="shared" si="2"/>
        <v>46.605388470594036</v>
      </c>
      <c r="G222" s="119">
        <f t="shared" si="3"/>
        <v>185.6402447356655</v>
      </c>
      <c r="H222" s="119">
        <f t="shared" si="4"/>
        <v>13140.442444777422</v>
      </c>
      <c r="I222" s="125">
        <v>1</v>
      </c>
    </row>
    <row r="223" spans="2:9" x14ac:dyDescent="0.25">
      <c r="B223" s="70">
        <v>16</v>
      </c>
      <c r="C223" s="122">
        <f t="shared" si="0"/>
        <v>4.2535539234978188</v>
      </c>
      <c r="D223" s="128">
        <f t="shared" si="1"/>
        <v>0.5</v>
      </c>
      <c r="E223" s="119">
        <f t="shared" si="5"/>
        <v>33.564912756398755</v>
      </c>
      <c r="F223" s="119">
        <f t="shared" si="2"/>
        <v>46.428303950070912</v>
      </c>
      <c r="G223" s="119">
        <f t="shared" si="3"/>
        <v>184.94491637341503</v>
      </c>
      <c r="H223" s="119">
        <f t="shared" si="4"/>
        <v>12996.86221255764</v>
      </c>
      <c r="I223" s="125">
        <v>1</v>
      </c>
    </row>
    <row r="224" spans="2:9" x14ac:dyDescent="0.25">
      <c r="B224" s="70">
        <v>17</v>
      </c>
      <c r="C224" s="122">
        <f t="shared" si="0"/>
        <v>4.2535539234978188</v>
      </c>
      <c r="D224" s="128">
        <f t="shared" si="1"/>
        <v>0.5</v>
      </c>
      <c r="E224" s="119">
        <f t="shared" si="5"/>
        <v>33.442475820605658</v>
      </c>
      <c r="F224" s="119">
        <f t="shared" si="2"/>
        <v>46.251146744876749</v>
      </c>
      <c r="G224" s="119">
        <f t="shared" si="3"/>
        <v>184.2469670595971</v>
      </c>
      <c r="H224" s="119">
        <f t="shared" si="4"/>
        <v>12853.652096351723</v>
      </c>
      <c r="I224" s="125">
        <v>1</v>
      </c>
    </row>
    <row r="225" spans="2:9" x14ac:dyDescent="0.25">
      <c r="B225" s="70">
        <v>18</v>
      </c>
      <c r="C225" s="122">
        <f t="shared" si="0"/>
        <v>4.2535539234978188</v>
      </c>
      <c r="D225" s="128">
        <f t="shared" si="1"/>
        <v>0.5</v>
      </c>
      <c r="E225" s="119">
        <f t="shared" si="5"/>
        <v>33.319441245847983</v>
      </c>
      <c r="F225" s="119">
        <f t="shared" si="2"/>
        <v>46.073869144955609</v>
      </c>
      <c r="G225" s="119">
        <f t="shared" si="3"/>
        <v>183.54635526148957</v>
      </c>
      <c r="H225" s="119">
        <f t="shared" si="4"/>
        <v>12710.822964068393</v>
      </c>
      <c r="I225" s="125">
        <v>1</v>
      </c>
    </row>
    <row r="226" spans="2:9" x14ac:dyDescent="0.25">
      <c r="B226" s="70">
        <v>19</v>
      </c>
      <c r="C226" s="122">
        <f t="shared" si="0"/>
        <v>4.2535539234978188</v>
      </c>
      <c r="D226" s="128">
        <f t="shared" si="1"/>
        <v>0.5</v>
      </c>
      <c r="E226" s="119">
        <f t="shared" si="5"/>
        <v>33.195810484401605</v>
      </c>
      <c r="F226" s="119">
        <f t="shared" si="2"/>
        <v>45.896423440251553</v>
      </c>
      <c r="G226" s="119">
        <f t="shared" si="3"/>
        <v>182.84303944637023</v>
      </c>
      <c r="H226" s="119">
        <f t="shared" si="4"/>
        <v>12568.385683616378</v>
      </c>
      <c r="I226" s="125">
        <v>1</v>
      </c>
    </row>
    <row r="227" spans="2:9" x14ac:dyDescent="0.25">
      <c r="B227" s="70">
        <v>20</v>
      </c>
      <c r="C227" s="122">
        <f t="shared" si="0"/>
        <v>4.2535539234978188</v>
      </c>
      <c r="D227" s="128">
        <f t="shared" si="1"/>
        <v>0.5</v>
      </c>
      <c r="E227" s="119">
        <f t="shared" si="5"/>
        <v>33.071584988542391</v>
      </c>
      <c r="F227" s="119">
        <f t="shared" si="2"/>
        <v>45.718761920708666</v>
      </c>
      <c r="G227" s="119">
        <f t="shared" si="3"/>
        <v>182.13697808151693</v>
      </c>
      <c r="H227" s="119">
        <f t="shared" si="4"/>
        <v>12426.351122904403</v>
      </c>
      <c r="I227" s="125">
        <v>1</v>
      </c>
    </row>
    <row r="228" spans="2:9" x14ac:dyDescent="0.25">
      <c r="B228" s="70">
        <v>21</v>
      </c>
      <c r="C228" s="122">
        <f t="shared" si="0"/>
        <v>4.2535539234978188</v>
      </c>
      <c r="D228" s="128">
        <f t="shared" si="1"/>
        <v>0.5</v>
      </c>
      <c r="E228" s="119">
        <f t="shared" si="5"/>
        <v>32.94676621054623</v>
      </c>
      <c r="F228" s="119">
        <f t="shared" si="2"/>
        <v>45.540836876271001</v>
      </c>
      <c r="G228" s="119">
        <f t="shared" si="3"/>
        <v>181.42812963420749</v>
      </c>
      <c r="H228" s="119">
        <f t="shared" si="4"/>
        <v>12284.730149841194</v>
      </c>
      <c r="I228" s="125">
        <v>1</v>
      </c>
    </row>
    <row r="229" spans="2:9" x14ac:dyDescent="0.25">
      <c r="B229" s="70">
        <v>22</v>
      </c>
      <c r="C229" s="122">
        <f t="shared" si="0"/>
        <v>4.2535539234978188</v>
      </c>
      <c r="D229" s="128">
        <f t="shared" si="1"/>
        <v>0.5</v>
      </c>
      <c r="E229" s="119">
        <f t="shared" si="5"/>
        <v>32.821355602688989</v>
      </c>
      <c r="F229" s="119">
        <f t="shared" si="2"/>
        <v>45.362600596882636</v>
      </c>
      <c r="G229" s="119">
        <f t="shared" si="3"/>
        <v>180.71645257171974</v>
      </c>
      <c r="H229" s="119">
        <f t="shared" si="4"/>
        <v>12143.533632335479</v>
      </c>
      <c r="I229" s="125">
        <v>1</v>
      </c>
    </row>
    <row r="230" spans="2:9" x14ac:dyDescent="0.25">
      <c r="B230" s="70">
        <v>23</v>
      </c>
      <c r="C230" s="122">
        <f t="shared" si="0"/>
        <v>4.2535539234978188</v>
      </c>
      <c r="D230" s="128">
        <f t="shared" si="1"/>
        <v>0.5</v>
      </c>
      <c r="E230" s="119">
        <f t="shared" si="5"/>
        <v>32.695354617246551</v>
      </c>
      <c r="F230" s="119">
        <f t="shared" si="2"/>
        <v>45.184005372487647</v>
      </c>
      <c r="G230" s="119">
        <f t="shared" si="3"/>
        <v>180.00190536133147</v>
      </c>
      <c r="H230" s="119">
        <f t="shared" si="4"/>
        <v>12002.772438295979</v>
      </c>
      <c r="I230" s="125">
        <v>1</v>
      </c>
    </row>
    <row r="231" spans="2:9" x14ac:dyDescent="0.25">
      <c r="B231" s="70">
        <v>24</v>
      </c>
      <c r="C231" s="122">
        <f t="shared" si="0"/>
        <v>4.2535539234978188</v>
      </c>
      <c r="D231" s="128">
        <f t="shared" si="1"/>
        <v>0.5</v>
      </c>
      <c r="E231" s="119">
        <f t="shared" si="5"/>
        <v>32.568764706494783</v>
      </c>
      <c r="F231" s="119">
        <f t="shared" si="2"/>
        <v>45.005003493030088</v>
      </c>
      <c r="G231" s="119">
        <f t="shared" si="3"/>
        <v>179.28444647032052</v>
      </c>
      <c r="H231" s="119">
        <f t="shared" si="4"/>
        <v>11862.457435631424</v>
      </c>
      <c r="I231" s="125">
        <v>1</v>
      </c>
    </row>
    <row r="232" spans="2:9" x14ac:dyDescent="0.25">
      <c r="B232" s="70">
        <v>25</v>
      </c>
      <c r="C232" s="122">
        <f t="shared" si="0"/>
        <v>4.2535539234978197</v>
      </c>
      <c r="D232" s="128">
        <f t="shared" si="1"/>
        <v>0.5</v>
      </c>
      <c r="E232" s="119">
        <f t="shared" si="5"/>
        <v>32.441587322709573</v>
      </c>
      <c r="F232" s="119">
        <f t="shared" si="2"/>
        <v>44.825547248454036</v>
      </c>
      <c r="G232" s="119">
        <f t="shared" si="3"/>
        <v>178.56403436596472</v>
      </c>
      <c r="H232" s="119">
        <f t="shared" si="4"/>
        <v>11722.59949225054</v>
      </c>
      <c r="I232" s="125">
        <v>1</v>
      </c>
    </row>
    <row r="233" spans="2:9" x14ac:dyDescent="0.25">
      <c r="B233" s="70">
        <v>26</v>
      </c>
      <c r="C233" s="122">
        <f t="shared" si="0"/>
        <v>4.2535539234978197</v>
      </c>
      <c r="D233" s="128">
        <f t="shared" si="1"/>
        <v>0.5</v>
      </c>
      <c r="E233" s="119">
        <f t="shared" si="5"/>
        <v>32.313823918166797</v>
      </c>
      <c r="F233" s="119">
        <f t="shared" si="2"/>
        <v>44.64558892870356</v>
      </c>
      <c r="G233" s="119">
        <f t="shared" si="3"/>
        <v>177.84062751554185</v>
      </c>
      <c r="H233" s="119">
        <f t="shared" si="4"/>
        <v>11583.209476062049</v>
      </c>
      <c r="I233" s="125">
        <v>1</v>
      </c>
    </row>
    <row r="234" spans="2:9" x14ac:dyDescent="0.25">
      <c r="B234" s="70">
        <v>27</v>
      </c>
      <c r="C234" s="122">
        <f t="shared" si="0"/>
        <v>4.2535539234978197</v>
      </c>
      <c r="D234" s="128">
        <f t="shared" si="1"/>
        <v>0.5</v>
      </c>
      <c r="E234" s="119">
        <f t="shared" si="5"/>
        <v>32.185475945142322</v>
      </c>
      <c r="F234" s="119">
        <f t="shared" si="2"/>
        <v>44.465080823722722</v>
      </c>
      <c r="G234" s="119">
        <f t="shared" si="3"/>
        <v>177.11418438632978</v>
      </c>
      <c r="H234" s="119">
        <f t="shared" si="4"/>
        <v>11444.298254974683</v>
      </c>
      <c r="I234" s="125">
        <v>1</v>
      </c>
    </row>
    <row r="235" spans="2:9" x14ac:dyDescent="0.25">
      <c r="B235" s="70">
        <v>28</v>
      </c>
      <c r="C235" s="122">
        <f t="shared" si="0"/>
        <v>4.2535539234978197</v>
      </c>
      <c r="D235" s="128">
        <f t="shared" si="1"/>
        <v>0.5</v>
      </c>
      <c r="E235" s="119">
        <f t="shared" si="5"/>
        <v>32.056544855912037</v>
      </c>
      <c r="F235" s="119">
        <f t="shared" si="2"/>
        <v>44.283975223455606</v>
      </c>
      <c r="G235" s="119">
        <f t="shared" si="3"/>
        <v>176.38466344560632</v>
      </c>
      <c r="H235" s="119">
        <f t="shared" si="4"/>
        <v>11305.876696897163</v>
      </c>
      <c r="I235" s="125">
        <v>1</v>
      </c>
    </row>
    <row r="236" spans="2:9" x14ac:dyDescent="0.25">
      <c r="B236" s="70">
        <v>29</v>
      </c>
      <c r="C236" s="122">
        <f t="shared" si="0"/>
        <v>4.2535539234978197</v>
      </c>
      <c r="D236" s="128">
        <f t="shared" si="1"/>
        <v>0.5</v>
      </c>
      <c r="E236" s="119">
        <f t="shared" si="5"/>
        <v>31.927032102751802</v>
      </c>
      <c r="F236" s="119">
        <f t="shared" si="2"/>
        <v>44.102224417846266</v>
      </c>
      <c r="G236" s="119">
        <f t="shared" si="3"/>
        <v>175.65202316064929</v>
      </c>
      <c r="H236" s="119">
        <f t="shared" si="4"/>
        <v>11167.955669738218</v>
      </c>
      <c r="I236" s="125">
        <v>1</v>
      </c>
    </row>
    <row r="237" spans="2:9" x14ac:dyDescent="0.25">
      <c r="B237" s="70">
        <v>30</v>
      </c>
      <c r="C237" s="122">
        <f t="shared" si="0"/>
        <v>4.2535539234978197</v>
      </c>
      <c r="D237" s="128">
        <f t="shared" si="1"/>
        <v>0.5</v>
      </c>
      <c r="E237" s="119">
        <f t="shared" si="5"/>
        <v>31.79693913793751</v>
      </c>
      <c r="F237" s="119">
        <f t="shared" si="2"/>
        <v>43.919780696838785</v>
      </c>
      <c r="G237" s="119">
        <f t="shared" si="3"/>
        <v>174.91622199873652</v>
      </c>
      <c r="H237" s="119">
        <f t="shared" si="4"/>
        <v>11030.546041406571</v>
      </c>
      <c r="I237" s="125">
        <v>1</v>
      </c>
    </row>
    <row r="238" spans="2:9" x14ac:dyDescent="0.25">
      <c r="B238" s="70">
        <v>31</v>
      </c>
      <c r="C238" s="122">
        <f t="shared" si="0"/>
        <v>4.2535539234978197</v>
      </c>
      <c r="D238" s="128">
        <f t="shared" si="1"/>
        <v>0.5</v>
      </c>
      <c r="E238" s="119">
        <f t="shared" si="5"/>
        <v>31.666267413745029</v>
      </c>
      <c r="F238" s="119">
        <f t="shared" si="2"/>
        <v>43.736596350377219</v>
      </c>
      <c r="G238" s="119">
        <f t="shared" si="3"/>
        <v>174.17721842714582</v>
      </c>
      <c r="H238" s="119">
        <f t="shared" si="4"/>
        <v>10893.658679810949</v>
      </c>
      <c r="I238" s="125">
        <v>1</v>
      </c>
    </row>
    <row r="239" spans="2:9" x14ac:dyDescent="0.25">
      <c r="B239" s="70">
        <v>32</v>
      </c>
      <c r="C239" s="122">
        <f t="shared" ref="C239:C267" si="6">($D$72*$B239^3)+($E$72*$B239^2)+($F$72*$B239)+($G$72)</f>
        <v>4.2535539234978197</v>
      </c>
      <c r="D239" s="128">
        <f t="shared" ref="D239:D267" si="7">($D$73*$B239^3)+($E$73*$B239^2)+($F$73*$B239)+($G$73)</f>
        <v>0.5</v>
      </c>
      <c r="E239" s="119">
        <f t="shared" si="5"/>
        <v>31.535018382450236</v>
      </c>
      <c r="F239" s="119">
        <f t="shared" si="2"/>
        <v>43.552623668405644</v>
      </c>
      <c r="G239" s="119">
        <f t="shared" si="3"/>
        <v>173.43497091315498</v>
      </c>
      <c r="H239" s="119">
        <f t="shared" si="4"/>
        <v>10757.304452860079</v>
      </c>
      <c r="I239" s="125">
        <v>1</v>
      </c>
    </row>
    <row r="240" spans="2:9" x14ac:dyDescent="0.25">
      <c r="B240" s="70">
        <v>33</v>
      </c>
      <c r="C240" s="122">
        <f t="shared" si="6"/>
        <v>4.2535539234978197</v>
      </c>
      <c r="D240" s="128">
        <f t="shared" si="7"/>
        <v>0.5</v>
      </c>
      <c r="E240" s="119">
        <f t="shared" si="5"/>
        <v>31.40319349632901</v>
      </c>
      <c r="F240" s="119">
        <f t="shared" si="2"/>
        <v>43.367814940868122</v>
      </c>
      <c r="G240" s="119">
        <f t="shared" si="3"/>
        <v>172.68943792404187</v>
      </c>
      <c r="H240" s="119">
        <f t="shared" si="4"/>
        <v>10621.494228462685</v>
      </c>
      <c r="I240" s="125">
        <v>1</v>
      </c>
    </row>
    <row r="241" spans="2:9" x14ac:dyDescent="0.25">
      <c r="B241" s="70">
        <v>34</v>
      </c>
      <c r="C241" s="122">
        <f t="shared" si="6"/>
        <v>4.2535539234978197</v>
      </c>
      <c r="D241" s="128">
        <f t="shared" si="7"/>
        <v>0.5</v>
      </c>
      <c r="E241" s="119">
        <f t="shared" si="5"/>
        <v>31.270794207657225</v>
      </c>
      <c r="F241" s="119">
        <f t="shared" si="2"/>
        <v>43.182122457708736</v>
      </c>
      <c r="G241" s="119">
        <f t="shared" si="3"/>
        <v>171.94057792708429</v>
      </c>
      <c r="H241" s="119">
        <f t="shared" si="4"/>
        <v>10486.238874527497</v>
      </c>
      <c r="I241" s="125">
        <v>1</v>
      </c>
    </row>
    <row r="242" spans="2:9" x14ac:dyDescent="0.25">
      <c r="B242" s="70">
        <v>35</v>
      </c>
      <c r="C242" s="122">
        <f t="shared" si="6"/>
        <v>4.2535539234978197</v>
      </c>
      <c r="D242" s="128">
        <f t="shared" si="7"/>
        <v>0.5</v>
      </c>
      <c r="E242" s="119">
        <f t="shared" si="5"/>
        <v>31.13782196871076</v>
      </c>
      <c r="F242" s="119">
        <f t="shared" si="2"/>
        <v>42.995498508871542</v>
      </c>
      <c r="G242" s="119">
        <f t="shared" si="3"/>
        <v>171.1883493895601</v>
      </c>
      <c r="H242" s="119">
        <f t="shared" si="4"/>
        <v>10351.549258963238</v>
      </c>
      <c r="I242" s="125">
        <v>1</v>
      </c>
    </row>
    <row r="243" spans="2:9" x14ac:dyDescent="0.25">
      <c r="B243" s="70">
        <v>36</v>
      </c>
      <c r="C243" s="122">
        <f t="shared" si="6"/>
        <v>4.2535539234978197</v>
      </c>
      <c r="D243" s="128">
        <f t="shared" si="7"/>
        <v>0.5</v>
      </c>
      <c r="E243" s="119">
        <f t="shared" si="5"/>
        <v>31.004278231765493</v>
      </c>
      <c r="F243" s="119">
        <f t="shared" si="2"/>
        <v>42.807895384300615</v>
      </c>
      <c r="G243" s="119">
        <f t="shared" si="3"/>
        <v>170.43271077874707</v>
      </c>
      <c r="H243" s="119">
        <f t="shared" si="4"/>
        <v>10217.436249678631</v>
      </c>
      <c r="I243" s="125">
        <v>1</v>
      </c>
    </row>
    <row r="244" spans="2:9" x14ac:dyDescent="0.25">
      <c r="B244" s="70">
        <v>37</v>
      </c>
      <c r="C244" s="122">
        <f t="shared" si="6"/>
        <v>4.2535539234978197</v>
      </c>
      <c r="D244" s="128">
        <f t="shared" si="7"/>
        <v>0.5</v>
      </c>
      <c r="E244" s="119">
        <f t="shared" si="5"/>
        <v>30.870164449097295</v>
      </c>
      <c r="F244" s="119">
        <f t="shared" si="2"/>
        <v>42.619265373940024</v>
      </c>
      <c r="G244" s="119">
        <f t="shared" si="3"/>
        <v>169.67362056192303</v>
      </c>
      <c r="H244" s="119">
        <f t="shared" si="4"/>
        <v>10083.910714582407</v>
      </c>
      <c r="I244" s="125">
        <v>1</v>
      </c>
    </row>
    <row r="245" spans="2:9" x14ac:dyDescent="0.25">
      <c r="B245" s="70">
        <v>38</v>
      </c>
      <c r="C245" s="122">
        <f t="shared" si="6"/>
        <v>4.2535539234978197</v>
      </c>
      <c r="D245" s="128">
        <f t="shared" si="7"/>
        <v>0.5</v>
      </c>
      <c r="E245" s="119">
        <f t="shared" si="5"/>
        <v>30.735482072982048</v>
      </c>
      <c r="F245" s="119">
        <f t="shared" si="2"/>
        <v>42.429560767733832</v>
      </c>
      <c r="G245" s="119">
        <f t="shared" si="3"/>
        <v>168.91103720636582</v>
      </c>
      <c r="H245" s="119">
        <f t="shared" si="4"/>
        <v>9950.98352158329</v>
      </c>
      <c r="I245" s="125">
        <v>1</v>
      </c>
    </row>
    <row r="246" spans="2:9" x14ac:dyDescent="0.25">
      <c r="B246" s="70">
        <v>39</v>
      </c>
      <c r="C246" s="122">
        <f t="shared" si="6"/>
        <v>4.2535539234978197</v>
      </c>
      <c r="D246" s="128">
        <f t="shared" si="7"/>
        <v>0.5</v>
      </c>
      <c r="E246" s="119">
        <f t="shared" si="5"/>
        <v>30.600232555695623</v>
      </c>
      <c r="F246" s="119">
        <f t="shared" si="2"/>
        <v>42.238733855626123</v>
      </c>
      <c r="G246" s="119">
        <f t="shared" si="3"/>
        <v>168.14491917935325</v>
      </c>
      <c r="H246" s="119">
        <f t="shared" si="4"/>
        <v>9818.6655385900049</v>
      </c>
      <c r="I246" s="125">
        <v>1</v>
      </c>
    </row>
    <row r="247" spans="2:9" x14ac:dyDescent="0.25">
      <c r="B247" s="70">
        <v>40</v>
      </c>
      <c r="C247" s="122">
        <f t="shared" si="6"/>
        <v>4.2535539234978197</v>
      </c>
      <c r="D247" s="128">
        <f t="shared" si="7"/>
        <v>0.5</v>
      </c>
      <c r="E247" s="119">
        <f t="shared" si="5"/>
        <v>30.464417349513901</v>
      </c>
      <c r="F247" s="119">
        <f t="shared" si="2"/>
        <v>42.046736927560943</v>
      </c>
      <c r="G247" s="119">
        <f t="shared" si="3"/>
        <v>167.37522494816315</v>
      </c>
      <c r="H247" s="119">
        <f t="shared" si="4"/>
        <v>9686.9676335112799</v>
      </c>
      <c r="I247" s="125">
        <v>1</v>
      </c>
    </row>
    <row r="248" spans="2:9" x14ac:dyDescent="0.25">
      <c r="B248" s="70">
        <v>41</v>
      </c>
      <c r="C248" s="122">
        <f t="shared" si="6"/>
        <v>4.2535539234978197</v>
      </c>
      <c r="D248" s="128">
        <f t="shared" si="7"/>
        <v>0.5</v>
      </c>
      <c r="E248" s="119">
        <f t="shared" si="5"/>
        <v>30.328037906712758</v>
      </c>
      <c r="F248" s="119">
        <f t="shared" si="2"/>
        <v>41.853522273482383</v>
      </c>
      <c r="G248" s="119">
        <f t="shared" si="3"/>
        <v>166.60191298007334</v>
      </c>
      <c r="H248" s="119">
        <f t="shared" si="4"/>
        <v>9555.9006742558395</v>
      </c>
      <c r="I248" s="125">
        <v>1</v>
      </c>
    </row>
    <row r="249" spans="2:9" x14ac:dyDescent="0.25">
      <c r="B249" s="70">
        <v>42</v>
      </c>
      <c r="C249" s="122">
        <f t="shared" si="6"/>
        <v>4.2535539234978197</v>
      </c>
      <c r="D249" s="128">
        <f t="shared" si="7"/>
        <v>0.5</v>
      </c>
      <c r="E249" s="119">
        <f t="shared" si="5"/>
        <v>30.191095679568072</v>
      </c>
      <c r="F249" s="119">
        <f t="shared" si="2"/>
        <v>41.659042183334506</v>
      </c>
      <c r="G249" s="119">
        <f t="shared" si="3"/>
        <v>165.82494174236163</v>
      </c>
      <c r="H249" s="119">
        <f t="shared" si="4"/>
        <v>9425.4755287324097</v>
      </c>
      <c r="I249" s="125">
        <v>1</v>
      </c>
    </row>
    <row r="250" spans="2:9" x14ac:dyDescent="0.25">
      <c r="B250" s="70">
        <v>43</v>
      </c>
      <c r="C250" s="122">
        <f t="shared" si="6"/>
        <v>4.2535539234978197</v>
      </c>
      <c r="D250" s="128">
        <f t="shared" si="7"/>
        <v>0.5</v>
      </c>
      <c r="E250" s="119">
        <f t="shared" si="5"/>
        <v>30.053592120355713</v>
      </c>
      <c r="F250" s="119">
        <f t="shared" si="2"/>
        <v>41.463248947061373</v>
      </c>
      <c r="G250" s="119">
        <f t="shared" si="3"/>
        <v>165.04426970230585</v>
      </c>
      <c r="H250" s="119">
        <f t="shared" si="4"/>
        <v>9295.7030648497166</v>
      </c>
      <c r="I250" s="125">
        <v>1</v>
      </c>
    </row>
    <row r="251" spans="2:9" x14ac:dyDescent="0.25">
      <c r="B251" s="70">
        <v>44</v>
      </c>
      <c r="C251" s="122">
        <f t="shared" si="6"/>
        <v>4.2535539234978197</v>
      </c>
      <c r="D251" s="128">
        <f t="shared" si="7"/>
        <v>0.5</v>
      </c>
      <c r="E251" s="119">
        <f t="shared" si="5"/>
        <v>29.915528681351564</v>
      </c>
      <c r="F251" s="119">
        <f t="shared" si="2"/>
        <v>41.266094854607054</v>
      </c>
      <c r="G251" s="119">
        <f t="shared" si="3"/>
        <v>164.25985532718386</v>
      </c>
      <c r="H251" s="119">
        <f t="shared" si="4"/>
        <v>9166.5941505164847</v>
      </c>
      <c r="I251" s="125">
        <v>1</v>
      </c>
    </row>
    <row r="252" spans="2:9" x14ac:dyDescent="0.25">
      <c r="B252" s="70">
        <v>45</v>
      </c>
      <c r="C252" s="122">
        <f t="shared" si="6"/>
        <v>4.2535539234978197</v>
      </c>
      <c r="D252" s="128">
        <f t="shared" si="7"/>
        <v>0.5</v>
      </c>
      <c r="E252" s="119">
        <f t="shared" si="5"/>
        <v>29.776906814831499</v>
      </c>
      <c r="F252" s="119">
        <f t="shared" si="2"/>
        <v>41.067532195915632</v>
      </c>
      <c r="G252" s="119">
        <f t="shared" si="3"/>
        <v>163.4716570842734</v>
      </c>
      <c r="H252" s="119">
        <f t="shared" si="4"/>
        <v>9038.1596536414418</v>
      </c>
      <c r="I252" s="125">
        <v>1</v>
      </c>
    </row>
    <row r="253" spans="2:9" x14ac:dyDescent="0.25">
      <c r="B253" s="70">
        <v>46</v>
      </c>
      <c r="C253" s="122">
        <f t="shared" si="6"/>
        <v>4.2535539234978197</v>
      </c>
      <c r="D253" s="128">
        <f t="shared" si="7"/>
        <v>0.5</v>
      </c>
      <c r="E253" s="119">
        <f t="shared" si="5"/>
        <v>29.637727973071396</v>
      </c>
      <c r="F253" s="119">
        <f t="shared" si="2"/>
        <v>40.867513260931162</v>
      </c>
      <c r="G253" s="119">
        <f t="shared" si="3"/>
        <v>162.67963344085234</v>
      </c>
      <c r="H253" s="119">
        <f t="shared" si="4"/>
        <v>8910.4104421333141</v>
      </c>
      <c r="I253" s="125">
        <v>1</v>
      </c>
    </row>
    <row r="254" spans="2:9" x14ac:dyDescent="0.25">
      <c r="B254" s="70">
        <v>47</v>
      </c>
      <c r="C254" s="122">
        <f t="shared" si="6"/>
        <v>4.2535539234978197</v>
      </c>
      <c r="D254" s="128">
        <f t="shared" si="7"/>
        <v>0.5</v>
      </c>
      <c r="E254" s="119">
        <f t="shared" si="5"/>
        <v>29.49799360834713</v>
      </c>
      <c r="F254" s="119">
        <f t="shared" si="2"/>
        <v>40.665990339597712</v>
      </c>
      <c r="G254" s="119">
        <f t="shared" si="3"/>
        <v>161.88374286419852</v>
      </c>
      <c r="H254" s="119">
        <f t="shared" si="4"/>
        <v>8783.3573839008259</v>
      </c>
      <c r="I254" s="125">
        <v>1</v>
      </c>
    </row>
    <row r="255" spans="2:9" x14ac:dyDescent="0.25">
      <c r="B255" s="70">
        <v>48</v>
      </c>
      <c r="C255" s="122">
        <f t="shared" si="6"/>
        <v>4.2535539234978197</v>
      </c>
      <c r="D255" s="128">
        <f t="shared" si="7"/>
        <v>0.5</v>
      </c>
      <c r="E255" s="119">
        <f t="shared" si="5"/>
        <v>29.35770517293458</v>
      </c>
      <c r="F255" s="119">
        <f t="shared" si="2"/>
        <v>40.462915721859368</v>
      </c>
      <c r="G255" s="119">
        <f t="shared" si="3"/>
        <v>161.08394382158974</v>
      </c>
      <c r="H255" s="119">
        <f t="shared" si="4"/>
        <v>8657.0113468527052</v>
      </c>
      <c r="I255" s="125">
        <v>1</v>
      </c>
    </row>
    <row r="256" spans="2:9" x14ac:dyDescent="0.25">
      <c r="B256" s="70">
        <v>49</v>
      </c>
      <c r="C256" s="122">
        <f t="shared" si="6"/>
        <v>4.2535539234978197</v>
      </c>
      <c r="D256" s="128">
        <f t="shared" si="7"/>
        <v>0.5</v>
      </c>
      <c r="E256" s="119">
        <f t="shared" si="5"/>
        <v>29.216864119109616</v>
      </c>
      <c r="F256" s="119">
        <f t="shared" si="2"/>
        <v>40.258241697660182</v>
      </c>
      <c r="G256" s="119">
        <f t="shared" si="3"/>
        <v>160.28019478030382</v>
      </c>
      <c r="H256" s="119">
        <f t="shared" si="4"/>
        <v>8531.3831988976763</v>
      </c>
      <c r="I256" s="125">
        <v>1</v>
      </c>
    </row>
    <row r="257" spans="2:9" x14ac:dyDescent="0.25">
      <c r="B257" s="70">
        <v>50</v>
      </c>
      <c r="C257" s="122">
        <f t="shared" si="6"/>
        <v>4.2535539234978197</v>
      </c>
      <c r="D257" s="128">
        <f t="shared" si="7"/>
        <v>0.5</v>
      </c>
      <c r="E257" s="119">
        <f t="shared" si="5"/>
        <v>29.075471899148123</v>
      </c>
      <c r="F257" s="119">
        <f t="shared" si="2"/>
        <v>40.051920556944225</v>
      </c>
      <c r="G257" s="119">
        <f t="shared" si="3"/>
        <v>159.47245420761857</v>
      </c>
      <c r="H257" s="119">
        <f t="shared" si="4"/>
        <v>8406.4838079444635</v>
      </c>
      <c r="I257" s="125">
        <v>1</v>
      </c>
    </row>
    <row r="258" spans="2:9" x14ac:dyDescent="0.25">
      <c r="B258" s="70">
        <v>51</v>
      </c>
      <c r="C258" s="122">
        <f t="shared" si="6"/>
        <v>4.2535539234978197</v>
      </c>
      <c r="D258" s="128">
        <f t="shared" si="7"/>
        <v>0.5</v>
      </c>
      <c r="E258" s="119">
        <f t="shared" si="5"/>
        <v>28.933529965325974</v>
      </c>
      <c r="F258" s="119">
        <f t="shared" si="2"/>
        <v>39.84390458965558</v>
      </c>
      <c r="G258" s="119">
        <f t="shared" si="3"/>
        <v>158.66068057081182</v>
      </c>
      <c r="H258" s="119">
        <f t="shared" si="4"/>
        <v>8282.3240419017966</v>
      </c>
      <c r="I258" s="125">
        <v>1</v>
      </c>
    </row>
    <row r="259" spans="2:9" x14ac:dyDescent="0.25">
      <c r="B259" s="70">
        <v>52</v>
      </c>
      <c r="C259" s="122">
        <f t="shared" si="6"/>
        <v>4.2535539234978197</v>
      </c>
      <c r="D259" s="128">
        <f t="shared" si="7"/>
        <v>0.5</v>
      </c>
      <c r="E259" s="119">
        <f t="shared" si="5"/>
        <v>28.791039769919042</v>
      </c>
      <c r="F259" s="119">
        <f t="shared" si="2"/>
        <v>39.634146085738294</v>
      </c>
      <c r="G259" s="119">
        <f t="shared" si="3"/>
        <v>157.84483233716142</v>
      </c>
      <c r="H259" s="119">
        <f t="shared" si="4"/>
        <v>8158.9147686783999</v>
      </c>
      <c r="I259" s="125">
        <v>1</v>
      </c>
    </row>
    <row r="260" spans="2:9" x14ac:dyDescent="0.25">
      <c r="B260" s="70">
        <v>53</v>
      </c>
      <c r="C260" s="122">
        <f t="shared" si="6"/>
        <v>4.2535539234978197</v>
      </c>
      <c r="D260" s="128">
        <f t="shared" si="7"/>
        <v>0.5</v>
      </c>
      <c r="E260" s="119">
        <f t="shared" si="5"/>
        <v>28.648002765203209</v>
      </c>
      <c r="F260" s="119">
        <f t="shared" si="2"/>
        <v>39.422597335136459</v>
      </c>
      <c r="G260" s="119">
        <f t="shared" si="3"/>
        <v>157.02486797394516</v>
      </c>
      <c r="H260" s="119">
        <f t="shared" si="4"/>
        <v>8036.2668561829978</v>
      </c>
      <c r="I260" s="125">
        <v>1</v>
      </c>
    </row>
    <row r="261" spans="2:9" x14ac:dyDescent="0.25">
      <c r="B261" s="70">
        <v>54</v>
      </c>
      <c r="C261" s="122">
        <f t="shared" si="6"/>
        <v>4.2535539234978197</v>
      </c>
      <c r="D261" s="128">
        <f t="shared" si="7"/>
        <v>0.5</v>
      </c>
      <c r="E261" s="119">
        <f t="shared" si="5"/>
        <v>28.50442040345435</v>
      </c>
      <c r="F261" s="119">
        <f t="shared" si="2"/>
        <v>39.209210627794121</v>
      </c>
      <c r="G261" s="119">
        <f t="shared" si="3"/>
        <v>156.20074594844087</v>
      </c>
      <c r="H261" s="119">
        <f t="shared" si="4"/>
        <v>7914.3911723243182</v>
      </c>
      <c r="I261" s="125">
        <v>1</v>
      </c>
    </row>
    <row r="262" spans="2:9" x14ac:dyDescent="0.25">
      <c r="B262" s="70">
        <v>55</v>
      </c>
      <c r="C262" s="122">
        <f t="shared" si="6"/>
        <v>4.2535539234978197</v>
      </c>
      <c r="D262" s="128">
        <f t="shared" si="7"/>
        <v>0.5</v>
      </c>
      <c r="E262" s="119">
        <f t="shared" si="5"/>
        <v>28.36029413694834</v>
      </c>
      <c r="F262" s="119">
        <f t="shared" si="2"/>
        <v>38.993938253655372</v>
      </c>
      <c r="G262" s="119">
        <f t="shared" si="3"/>
        <v>155.37242472792636</v>
      </c>
      <c r="H262" s="119">
        <f t="shared" si="4"/>
        <v>7793.2985850110854</v>
      </c>
      <c r="I262" s="125">
        <v>1</v>
      </c>
    </row>
    <row r="263" spans="2:9" x14ac:dyDescent="0.25">
      <c r="B263" s="70">
        <v>56</v>
      </c>
      <c r="C263" s="122">
        <f t="shared" si="6"/>
        <v>4.2535539234978197</v>
      </c>
      <c r="D263" s="128">
        <f t="shared" si="7"/>
        <v>0.5</v>
      </c>
      <c r="E263" s="119">
        <f t="shared" si="5"/>
        <v>28.215625417961057</v>
      </c>
      <c r="F263" s="119">
        <f t="shared" si="2"/>
        <v>38.776732502664267</v>
      </c>
      <c r="G263" s="119">
        <f t="shared" si="3"/>
        <v>154.53986277967948</v>
      </c>
      <c r="H263" s="119">
        <f t="shared" si="4"/>
        <v>7672.9999621520274</v>
      </c>
      <c r="I263" s="125">
        <v>1</v>
      </c>
    </row>
    <row r="264" spans="2:9" x14ac:dyDescent="0.25">
      <c r="B264" s="70">
        <v>57</v>
      </c>
      <c r="C264" s="122">
        <f t="shared" si="6"/>
        <v>4.2535539234978197</v>
      </c>
      <c r="D264" s="128">
        <f t="shared" si="7"/>
        <v>0.5</v>
      </c>
      <c r="E264" s="119">
        <f t="shared" si="5"/>
        <v>28.070415698768379</v>
      </c>
      <c r="F264" s="119">
        <f t="shared" si="2"/>
        <v>38.557545664764874</v>
      </c>
      <c r="G264" s="119">
        <f t="shared" si="3"/>
        <v>153.70301857097803</v>
      </c>
      <c r="H264" s="119">
        <f t="shared" si="4"/>
        <v>7553.5061716558685</v>
      </c>
      <c r="I264" s="125">
        <v>1</v>
      </c>
    </row>
    <row r="265" spans="2:9" x14ac:dyDescent="0.25">
      <c r="B265" s="70">
        <v>58</v>
      </c>
      <c r="C265" s="122">
        <f t="shared" si="6"/>
        <v>4.2535539234978197</v>
      </c>
      <c r="D265" s="128">
        <f t="shared" si="7"/>
        <v>0.5</v>
      </c>
      <c r="E265" s="119">
        <f t="shared" si="5"/>
        <v>27.92466643164618</v>
      </c>
      <c r="F265" s="119">
        <f t="shared" si="2"/>
        <v>38.336330029901276</v>
      </c>
      <c r="G265" s="119">
        <f t="shared" si="3"/>
        <v>152.86185056909983</v>
      </c>
      <c r="H265" s="119">
        <f t="shared" si="4"/>
        <v>7434.8280814313348</v>
      </c>
      <c r="I265" s="125">
        <v>1</v>
      </c>
    </row>
    <row r="266" spans="2:9" x14ac:dyDescent="0.25">
      <c r="B266" s="70">
        <v>59</v>
      </c>
      <c r="C266" s="122">
        <f t="shared" si="6"/>
        <v>4.2535539234978197</v>
      </c>
      <c r="D266" s="128">
        <f t="shared" si="7"/>
        <v>0.5</v>
      </c>
      <c r="E266" s="119">
        <f t="shared" si="5"/>
        <v>27.778379068870336</v>
      </c>
      <c r="F266" s="119">
        <f t="shared" si="2"/>
        <v>38.113037888017523</v>
      </c>
      <c r="G266" s="119">
        <f t="shared" si="3"/>
        <v>152.01631724132272</v>
      </c>
      <c r="H266" s="119">
        <f t="shared" si="4"/>
        <v>7316.9765593871534</v>
      </c>
      <c r="I266" s="125">
        <v>1</v>
      </c>
    </row>
    <row r="267" spans="2:9" x14ac:dyDescent="0.25">
      <c r="B267" s="70">
        <v>60</v>
      </c>
      <c r="C267" s="122">
        <f t="shared" si="6"/>
        <v>4.2535539234978197</v>
      </c>
      <c r="D267" s="128">
        <f t="shared" si="7"/>
        <v>0.5</v>
      </c>
      <c r="E267" s="119">
        <f t="shared" si="5"/>
        <v>27.631555062716725</v>
      </c>
      <c r="F267" s="119">
        <f t="shared" si="2"/>
        <v>37.887621529057697</v>
      </c>
      <c r="G267" s="119">
        <f t="shared" si="3"/>
        <v>151.16637705492451</v>
      </c>
      <c r="H267" s="119">
        <f t="shared" si="4"/>
        <v>7199.9624734320487</v>
      </c>
      <c r="I267" s="125">
        <v>1</v>
      </c>
    </row>
    <row r="268" spans="2:9" x14ac:dyDescent="0.25">
      <c r="B268" s="70">
        <v>61</v>
      </c>
      <c r="C268" s="127">
        <f>($D$102*($B267-$D$86)^3)+($E$102*($B267-$D$86)^2)+($F$102*($B267-$D$86))+($G$102)</f>
        <v>4.2681103363677861</v>
      </c>
      <c r="D268" s="91">
        <f>($D$103*($B267-$D$86)^3)+($E$103*($B267-$D$86)^2)+($F$103*($B267-$D$86))+($G$103)</f>
        <v>0.5</v>
      </c>
      <c r="E268" s="91">
        <f>($D$104*($B267-$D$86)^3)+($E$104*($B267-$D$86)^2)+($F$104*($B267-$D$86))+($G$104)</f>
        <v>27.573209700656253</v>
      </c>
      <c r="F268" s="91">
        <f>($D$105*($B267-$D$86)^3)+($E$105*($B267-$D$86)^2)+($F$105*($B267-$D$86))+($G$105)</f>
        <v>37.886991908306292</v>
      </c>
      <c r="G268" s="91">
        <f>($D$106*($B267-$D$86)^3)+($E$106*($B267-$D$86)^2)+($F$106*($B267-$D$86))+($G$106)</f>
        <v>151.21547701252575</v>
      </c>
      <c r="H268" s="91">
        <f>($D$107*($B267-$D$86)^3)+($E$107*($B267-$D$86)^2)+($F$107*($B267-$D$86))+($G$107)</f>
        <v>7214.3940469997115</v>
      </c>
      <c r="I268" s="125">
        <v>2</v>
      </c>
    </row>
    <row r="269" spans="2:9" x14ac:dyDescent="0.25">
      <c r="B269" s="70">
        <v>62</v>
      </c>
      <c r="C269" s="127">
        <f t="shared" ref="C269:C332" si="8">($D$102*($B268-$D$86)^3)+($E$102*($B268-$D$86)^2)+($F$102*($B268-$D$86))+($G$102)</f>
        <v>4.2637678912538783</v>
      </c>
      <c r="D269" s="91">
        <f t="shared" ref="D269:D332" si="9">($D$103*($B268-$D$86)^3)+($E$103*($B268-$D$86)^2)+($F$103*($B268-$D$86))+($G$103)</f>
        <v>0.5</v>
      </c>
      <c r="E269" s="91">
        <f t="shared" ref="E269:E332" si="10">($D$104*($B268-$D$86)^3)+($E$104*($B268-$D$86)^2)+($F$104*($B268-$D$86))+($G$104)</f>
        <v>27.443194607176441</v>
      </c>
      <c r="F269" s="91">
        <f t="shared" ref="F269:F332" si="11">($D$105*($B268-$D$86)^3)+($E$105*($B268-$D$86)^2)+($F$105*($B268-$D$86))+($G$105)</f>
        <v>37.663800931995787</v>
      </c>
      <c r="G269" s="91">
        <f t="shared" ref="G269:G332" si="12">($D$106*($B268-$D$86)^3)+($E$106*($B268-$D$86)^2)+($F$106*($B268-$D$86))+($G$106)</f>
        <v>150.35131042101531</v>
      </c>
      <c r="H269" s="91">
        <f t="shared" ref="H269:H332" si="13">($D$107*($B268-$D$86)^3)+($E$107*($B268-$D$86)^2)+($F$107*($B268-$D$86))+($G$107)</f>
        <v>7092.6867146927616</v>
      </c>
      <c r="I269" s="125">
        <v>2</v>
      </c>
    </row>
    <row r="270" spans="2:9" x14ac:dyDescent="0.25">
      <c r="B270" s="70">
        <v>63</v>
      </c>
      <c r="C270" s="127">
        <f t="shared" si="8"/>
        <v>4.2595406800429183</v>
      </c>
      <c r="D270" s="91">
        <f t="shared" si="9"/>
        <v>0.5</v>
      </c>
      <c r="E270" s="91">
        <f t="shared" si="10"/>
        <v>27.311206502498511</v>
      </c>
      <c r="F270" s="91">
        <f t="shared" si="11"/>
        <v>37.438569255721397</v>
      </c>
      <c r="G270" s="91">
        <f t="shared" si="12"/>
        <v>149.47735873436986</v>
      </c>
      <c r="H270" s="91">
        <f t="shared" si="13"/>
        <v>6972.0479511554295</v>
      </c>
      <c r="I270" s="125">
        <v>2</v>
      </c>
    </row>
    <row r="271" spans="2:9" x14ac:dyDescent="0.25">
      <c r="B271" s="70">
        <v>64</v>
      </c>
      <c r="C271" s="127">
        <f t="shared" si="8"/>
        <v>4.2554160071603917</v>
      </c>
      <c r="D271" s="91">
        <f t="shared" si="9"/>
        <v>0.5</v>
      </c>
      <c r="E271" s="91">
        <f t="shared" si="10"/>
        <v>27.177308039254115</v>
      </c>
      <c r="F271" s="91">
        <f t="shared" si="11"/>
        <v>37.21133630792788</v>
      </c>
      <c r="G271" s="91">
        <f t="shared" si="12"/>
        <v>148.59379839152302</v>
      </c>
      <c r="H271" s="91">
        <f t="shared" si="13"/>
        <v>6852.4798531135866</v>
      </c>
      <c r="I271" s="125">
        <v>2</v>
      </c>
    </row>
    <row r="272" spans="2:9" x14ac:dyDescent="0.25">
      <c r="B272" s="70">
        <v>65</v>
      </c>
      <c r="C272" s="127">
        <f t="shared" si="8"/>
        <v>4.2513811770317886</v>
      </c>
      <c r="D272" s="91">
        <f t="shared" si="9"/>
        <v>0.5</v>
      </c>
      <c r="E272" s="91">
        <f t="shared" si="10"/>
        <v>27.041561870074901</v>
      </c>
      <c r="F272" s="91">
        <f t="shared" si="11"/>
        <v>36.982141517059986</v>
      </c>
      <c r="G272" s="91">
        <f t="shared" si="12"/>
        <v>147.70080583140853</v>
      </c>
      <c r="H272" s="91">
        <f t="shared" si="13"/>
        <v>6733.9845172931036</v>
      </c>
      <c r="I272" s="125">
        <v>2</v>
      </c>
    </row>
    <row r="273" spans="2:9" x14ac:dyDescent="0.25">
      <c r="B273" s="70">
        <v>66</v>
      </c>
      <c r="C273" s="127">
        <f t="shared" si="8"/>
        <v>4.2474234940825966</v>
      </c>
      <c r="D273" s="91">
        <f t="shared" si="9"/>
        <v>0.5</v>
      </c>
      <c r="E273" s="91">
        <f t="shared" si="10"/>
        <v>26.904030647592528</v>
      </c>
      <c r="F273" s="91">
        <f t="shared" si="11"/>
        <v>36.75102431156246</v>
      </c>
      <c r="G273" s="91">
        <f t="shared" si="12"/>
        <v>146.79855749296004</v>
      </c>
      <c r="H273" s="91">
        <f t="shared" si="13"/>
        <v>6616.564040419853</v>
      </c>
      <c r="I273" s="125">
        <v>2</v>
      </c>
    </row>
    <row r="274" spans="2:9" x14ac:dyDescent="0.25">
      <c r="B274" s="70">
        <v>67</v>
      </c>
      <c r="C274" s="127">
        <f t="shared" si="8"/>
        <v>4.243530262738302</v>
      </c>
      <c r="D274" s="91">
        <f t="shared" si="9"/>
        <v>0.5</v>
      </c>
      <c r="E274" s="91">
        <f t="shared" si="10"/>
        <v>26.76477702443864</v>
      </c>
      <c r="F274" s="91">
        <f t="shared" si="11"/>
        <v>36.518024119880074</v>
      </c>
      <c r="G274" s="91">
        <f t="shared" si="12"/>
        <v>145.88722981511123</v>
      </c>
      <c r="H274" s="91">
        <f t="shared" si="13"/>
        <v>6500.2205192197061</v>
      </c>
      <c r="I274" s="125">
        <v>2</v>
      </c>
    </row>
    <row r="275" spans="2:9" x14ac:dyDescent="0.25">
      <c r="B275" s="70">
        <v>68</v>
      </c>
      <c r="C275" s="127">
        <f t="shared" si="8"/>
        <v>4.2396887874243943</v>
      </c>
      <c r="D275" s="91">
        <f t="shared" si="9"/>
        <v>0.5</v>
      </c>
      <c r="E275" s="91">
        <f t="shared" si="10"/>
        <v>26.6238636532449</v>
      </c>
      <c r="F275" s="91">
        <f t="shared" si="11"/>
        <v>36.283180370457558</v>
      </c>
      <c r="G275" s="91">
        <f t="shared" si="12"/>
        <v>144.96699923679571</v>
      </c>
      <c r="H275" s="91">
        <f t="shared" si="13"/>
        <v>6384.9560504185338</v>
      </c>
      <c r="I275" s="125">
        <v>2</v>
      </c>
    </row>
    <row r="276" spans="2:9" x14ac:dyDescent="0.25">
      <c r="B276" s="70">
        <v>69</v>
      </c>
      <c r="C276" s="127">
        <f t="shared" si="8"/>
        <v>4.2358863725663607</v>
      </c>
      <c r="D276" s="91">
        <f t="shared" si="9"/>
        <v>0.5</v>
      </c>
      <c r="E276" s="91">
        <f t="shared" si="10"/>
        <v>26.481353186642952</v>
      </c>
      <c r="F276" s="91">
        <f t="shared" si="11"/>
        <v>36.046532491739676</v>
      </c>
      <c r="G276" s="91">
        <f t="shared" si="12"/>
        <v>144.03804219694726</v>
      </c>
      <c r="H276" s="91">
        <f t="shared" si="13"/>
        <v>6270.7727307422083</v>
      </c>
      <c r="I276" s="125">
        <v>2</v>
      </c>
    </row>
    <row r="277" spans="2:9" x14ac:dyDescent="0.25">
      <c r="B277" s="70">
        <v>70</v>
      </c>
      <c r="C277" s="127">
        <f t="shared" si="8"/>
        <v>4.2321103225896888</v>
      </c>
      <c r="D277" s="91">
        <f t="shared" si="9"/>
        <v>0.5</v>
      </c>
      <c r="E277" s="91">
        <f t="shared" si="10"/>
        <v>26.337308277264452</v>
      </c>
      <c r="F277" s="91">
        <f t="shared" si="11"/>
        <v>35.808119912171179</v>
      </c>
      <c r="G277" s="91">
        <f t="shared" si="12"/>
        <v>143.10053513449947</v>
      </c>
      <c r="H277" s="91">
        <f t="shared" si="13"/>
        <v>6157.6726569166012</v>
      </c>
      <c r="I277" s="125">
        <v>2</v>
      </c>
    </row>
    <row r="278" spans="2:9" x14ac:dyDescent="0.25">
      <c r="B278" s="70">
        <v>71</v>
      </c>
      <c r="C278" s="127">
        <f t="shared" si="8"/>
        <v>4.2283479419198668</v>
      </c>
      <c r="D278" s="91">
        <f t="shared" si="9"/>
        <v>0.5</v>
      </c>
      <c r="E278" s="91">
        <f t="shared" si="10"/>
        <v>26.19179157774105</v>
      </c>
      <c r="F278" s="91">
        <f t="shared" si="11"/>
        <v>35.567982060196819</v>
      </c>
      <c r="G278" s="91">
        <f t="shared" si="12"/>
        <v>142.15465448838603</v>
      </c>
      <c r="H278" s="91">
        <f t="shared" si="13"/>
        <v>6045.6579256675841</v>
      </c>
      <c r="I278" s="125">
        <v>2</v>
      </c>
    </row>
    <row r="279" spans="2:9" x14ac:dyDescent="0.25">
      <c r="B279" s="70">
        <v>72</v>
      </c>
      <c r="C279" s="127">
        <f t="shared" si="8"/>
        <v>4.2245865349823832</v>
      </c>
      <c r="D279" s="91">
        <f t="shared" si="9"/>
        <v>0.5</v>
      </c>
      <c r="E279" s="91">
        <f t="shared" si="10"/>
        <v>26.044865740704399</v>
      </c>
      <c r="F279" s="91">
        <f t="shared" si="11"/>
        <v>35.326158364261346</v>
      </c>
      <c r="G279" s="91">
        <f t="shared" si="12"/>
        <v>141.20057669754061</v>
      </c>
      <c r="H279" s="91">
        <f t="shared" si="13"/>
        <v>5934.7306337210284</v>
      </c>
      <c r="I279" s="125">
        <v>2</v>
      </c>
    </row>
    <row r="280" spans="2:9" x14ac:dyDescent="0.25">
      <c r="B280" s="70">
        <v>73</v>
      </c>
      <c r="C280" s="127">
        <f t="shared" si="8"/>
        <v>4.2208134062027245</v>
      </c>
      <c r="D280" s="91">
        <f t="shared" si="9"/>
        <v>0.5</v>
      </c>
      <c r="E280" s="91">
        <f t="shared" si="10"/>
        <v>25.896593418786154</v>
      </c>
      <c r="F280" s="91">
        <f t="shared" si="11"/>
        <v>35.082688252809511</v>
      </c>
      <c r="G280" s="91">
        <f t="shared" si="12"/>
        <v>140.23847820089691</v>
      </c>
      <c r="H280" s="91">
        <f t="shared" si="13"/>
        <v>5824.8928778028039</v>
      </c>
      <c r="I280" s="125">
        <v>2</v>
      </c>
    </row>
    <row r="281" spans="2:9" x14ac:dyDescent="0.25">
      <c r="B281" s="70">
        <v>74</v>
      </c>
      <c r="C281" s="127">
        <f t="shared" si="8"/>
        <v>4.217015860006379</v>
      </c>
      <c r="D281" s="91">
        <f t="shared" si="9"/>
        <v>0.5</v>
      </c>
      <c r="E281" s="91">
        <f t="shared" si="10"/>
        <v>25.747037264617965</v>
      </c>
      <c r="F281" s="91">
        <f t="shared" si="11"/>
        <v>34.837611154286066</v>
      </c>
      <c r="G281" s="91">
        <f t="shared" si="12"/>
        <v>139.26853543738858</v>
      </c>
      <c r="H281" s="91">
        <f t="shared" si="13"/>
        <v>5716.1467546387848</v>
      </c>
      <c r="I281" s="125">
        <v>2</v>
      </c>
    </row>
    <row r="282" spans="2:9" x14ac:dyDescent="0.25">
      <c r="B282" s="70">
        <v>75</v>
      </c>
      <c r="C282" s="127">
        <f t="shared" si="8"/>
        <v>4.2131812008188358</v>
      </c>
      <c r="D282" s="91">
        <f t="shared" si="9"/>
        <v>0.5</v>
      </c>
      <c r="E282" s="91">
        <f t="shared" si="10"/>
        <v>25.596259930831483</v>
      </c>
      <c r="F282" s="91">
        <f t="shared" si="11"/>
        <v>34.590966497135767</v>
      </c>
      <c r="G282" s="91">
        <f t="shared" si="12"/>
        <v>138.29092484594929</v>
      </c>
      <c r="H282" s="91">
        <f t="shared" si="13"/>
        <v>5608.4943609548418</v>
      </c>
      <c r="I282" s="125">
        <v>2</v>
      </c>
    </row>
    <row r="283" spans="2:9" x14ac:dyDescent="0.25">
      <c r="B283" s="70">
        <v>76</v>
      </c>
      <c r="C283" s="127">
        <f t="shared" si="8"/>
        <v>4.2092967330655808</v>
      </c>
      <c r="D283" s="91">
        <f t="shared" si="9"/>
        <v>0.5</v>
      </c>
      <c r="E283" s="91">
        <f t="shared" si="10"/>
        <v>25.444324070058364</v>
      </c>
      <c r="F283" s="91">
        <f t="shared" si="11"/>
        <v>34.342793709803367</v>
      </c>
      <c r="G283" s="91">
        <f t="shared" si="12"/>
        <v>137.30582286551274</v>
      </c>
      <c r="H283" s="91">
        <f t="shared" si="13"/>
        <v>5501.9377934768463</v>
      </c>
      <c r="I283" s="125">
        <v>2</v>
      </c>
    </row>
    <row r="284" spans="2:9" x14ac:dyDescent="0.25">
      <c r="B284" s="70">
        <v>77</v>
      </c>
      <c r="C284" s="127">
        <f t="shared" si="8"/>
        <v>4.205349761172104</v>
      </c>
      <c r="D284" s="91">
        <f t="shared" si="9"/>
        <v>0.5</v>
      </c>
      <c r="E284" s="91">
        <f t="shared" si="10"/>
        <v>25.291292334930258</v>
      </c>
      <c r="F284" s="91">
        <f t="shared" si="11"/>
        <v>34.093132220733615</v>
      </c>
      <c r="G284" s="91">
        <f t="shared" si="12"/>
        <v>136.31340593501258</v>
      </c>
      <c r="H284" s="91">
        <f t="shared" si="13"/>
        <v>5396.479148930669</v>
      </c>
      <c r="I284" s="125">
        <v>2</v>
      </c>
    </row>
    <row r="285" spans="2:9" x14ac:dyDescent="0.25">
      <c r="B285" s="70">
        <v>78</v>
      </c>
      <c r="C285" s="127">
        <f t="shared" si="8"/>
        <v>4.2013275895638911</v>
      </c>
      <c r="D285" s="91">
        <f t="shared" si="9"/>
        <v>0.5</v>
      </c>
      <c r="E285" s="91">
        <f t="shared" si="10"/>
        <v>25.137227378078816</v>
      </c>
      <c r="F285" s="91">
        <f t="shared" si="11"/>
        <v>33.842021458371256</v>
      </c>
      <c r="G285" s="91">
        <f t="shared" si="12"/>
        <v>135.31385049338246</v>
      </c>
      <c r="H285" s="91">
        <f t="shared" si="13"/>
        <v>5292.1205240421823</v>
      </c>
      <c r="I285" s="125">
        <v>2</v>
      </c>
    </row>
    <row r="286" spans="2:9" x14ac:dyDescent="0.25">
      <c r="B286" s="70">
        <v>79</v>
      </c>
      <c r="C286" s="127">
        <f t="shared" si="8"/>
        <v>4.1972175226664312</v>
      </c>
      <c r="D286" s="91">
        <f t="shared" si="9"/>
        <v>0.5</v>
      </c>
      <c r="E286" s="91">
        <f t="shared" si="10"/>
        <v>24.982191852135692</v>
      </c>
      <c r="F286" s="91">
        <f t="shared" si="11"/>
        <v>33.589500851161056</v>
      </c>
      <c r="G286" s="91">
        <f t="shared" si="12"/>
        <v>134.30733297955612</v>
      </c>
      <c r="H286" s="91">
        <f t="shared" si="13"/>
        <v>5188.8640155372577</v>
      </c>
      <c r="I286" s="125">
        <v>2</v>
      </c>
    </row>
    <row r="287" spans="2:9" x14ac:dyDescent="0.25">
      <c r="B287" s="70">
        <v>80</v>
      </c>
      <c r="C287" s="127">
        <f t="shared" si="8"/>
        <v>4.1930068649052128</v>
      </c>
      <c r="D287" s="91">
        <f t="shared" si="9"/>
        <v>0.5</v>
      </c>
      <c r="E287" s="91">
        <f t="shared" si="10"/>
        <v>24.826248409732539</v>
      </c>
      <c r="F287" s="91">
        <f t="shared" si="11"/>
        <v>33.335609827547756</v>
      </c>
      <c r="G287" s="91">
        <f t="shared" si="12"/>
        <v>133.29402983246715</v>
      </c>
      <c r="H287" s="91">
        <f t="shared" si="13"/>
        <v>5086.7117201417677</v>
      </c>
      <c r="I287" s="125">
        <v>2</v>
      </c>
    </row>
    <row r="288" spans="2:9" x14ac:dyDescent="0.25">
      <c r="B288" s="70">
        <v>81</v>
      </c>
      <c r="C288" s="127">
        <f t="shared" si="8"/>
        <v>4.1886829207057215</v>
      </c>
      <c r="D288" s="91">
        <f t="shared" si="9"/>
        <v>0.5</v>
      </c>
      <c r="E288" s="91">
        <f t="shared" si="10"/>
        <v>24.669459703501008</v>
      </c>
      <c r="F288" s="91">
        <f t="shared" si="11"/>
        <v>33.080387815976117</v>
      </c>
      <c r="G288" s="91">
        <f t="shared" si="12"/>
        <v>132.27411749104928</v>
      </c>
      <c r="H288" s="91">
        <f t="shared" si="13"/>
        <v>4985.6657345815811</v>
      </c>
      <c r="I288" s="125">
        <v>2</v>
      </c>
    </row>
    <row r="289" spans="2:9" x14ac:dyDescent="0.25">
      <c r="B289" s="70">
        <v>82</v>
      </c>
      <c r="C289" s="127">
        <f t="shared" si="8"/>
        <v>4.1842329944934473</v>
      </c>
      <c r="D289" s="91">
        <f t="shared" si="9"/>
        <v>0.5</v>
      </c>
      <c r="E289" s="91">
        <f t="shared" si="10"/>
        <v>24.511888386072755</v>
      </c>
      <c r="F289" s="91">
        <f t="shared" si="11"/>
        <v>32.823874244890888</v>
      </c>
      <c r="G289" s="91">
        <f t="shared" si="12"/>
        <v>131.24777239423616</v>
      </c>
      <c r="H289" s="91">
        <f t="shared" si="13"/>
        <v>4885.7281555825721</v>
      </c>
      <c r="I289" s="125">
        <v>2</v>
      </c>
    </row>
    <row r="290" spans="2:9" x14ac:dyDescent="0.25">
      <c r="B290" s="70">
        <v>83</v>
      </c>
      <c r="C290" s="127">
        <f t="shared" si="8"/>
        <v>4.1796443906938778</v>
      </c>
      <c r="D290" s="91">
        <f t="shared" si="9"/>
        <v>0.5</v>
      </c>
      <c r="E290" s="91">
        <f t="shared" si="10"/>
        <v>24.353597110079427</v>
      </c>
      <c r="F290" s="91">
        <f t="shared" si="11"/>
        <v>32.566108542736814</v>
      </c>
      <c r="G290" s="91">
        <f t="shared" si="12"/>
        <v>130.21517098096149</v>
      </c>
      <c r="H290" s="91">
        <f t="shared" si="13"/>
        <v>4786.9010798706113</v>
      </c>
      <c r="I290" s="125">
        <v>2</v>
      </c>
    </row>
    <row r="291" spans="2:9" x14ac:dyDescent="0.25">
      <c r="B291" s="70">
        <v>84</v>
      </c>
      <c r="C291" s="127">
        <f t="shared" si="8"/>
        <v>4.1749044137325004</v>
      </c>
      <c r="D291" s="91">
        <f t="shared" si="9"/>
        <v>0.5</v>
      </c>
      <c r="E291" s="91">
        <f t="shared" si="10"/>
        <v>24.194648528152676</v>
      </c>
      <c r="F291" s="91">
        <f t="shared" si="11"/>
        <v>32.307130137958659</v>
      </c>
      <c r="G291" s="91">
        <f t="shared" si="12"/>
        <v>129.17648969015892</v>
      </c>
      <c r="H291" s="91">
        <f t="shared" si="13"/>
        <v>4689.1866041715693</v>
      </c>
      <c r="I291" s="125">
        <v>2</v>
      </c>
    </row>
    <row r="292" spans="2:9" x14ac:dyDescent="0.25">
      <c r="B292" s="70">
        <v>85</v>
      </c>
      <c r="C292" s="127">
        <f t="shared" si="8"/>
        <v>4.1700003680348026</v>
      </c>
      <c r="D292" s="91">
        <f t="shared" si="9"/>
        <v>0.5</v>
      </c>
      <c r="E292" s="91">
        <f t="shared" si="10"/>
        <v>24.035105292924161</v>
      </c>
      <c r="F292" s="91">
        <f t="shared" si="11"/>
        <v>32.046978459001167</v>
      </c>
      <c r="G292" s="91">
        <f t="shared" si="12"/>
        <v>128.13190496076209</v>
      </c>
      <c r="H292" s="91">
        <f t="shared" si="13"/>
        <v>4592.5868252113187</v>
      </c>
      <c r="I292" s="125">
        <v>2</v>
      </c>
    </row>
    <row r="293" spans="2:9" x14ac:dyDescent="0.25">
      <c r="B293" s="70">
        <v>86</v>
      </c>
      <c r="C293" s="127">
        <f t="shared" si="8"/>
        <v>4.1649195580262726</v>
      </c>
      <c r="D293" s="91">
        <f t="shared" si="9"/>
        <v>0.5</v>
      </c>
      <c r="E293" s="91">
        <f t="shared" si="10"/>
        <v>23.875030057025526</v>
      </c>
      <c r="F293" s="91">
        <f t="shared" si="11"/>
        <v>31.78569293430909</v>
      </c>
      <c r="G293" s="91">
        <f t="shared" si="12"/>
        <v>127.08159323170473</v>
      </c>
      <c r="H293" s="91">
        <f t="shared" si="13"/>
        <v>4497.1038397157308</v>
      </c>
      <c r="I293" s="125">
        <v>2</v>
      </c>
    </row>
    <row r="294" spans="2:9" x14ac:dyDescent="0.25">
      <c r="B294" s="70">
        <v>87</v>
      </c>
      <c r="C294" s="127">
        <f t="shared" si="8"/>
        <v>4.1596492881323979</v>
      </c>
      <c r="D294" s="91">
        <f t="shared" si="9"/>
        <v>0.5</v>
      </c>
      <c r="E294" s="91">
        <f t="shared" si="10"/>
        <v>23.71448547308843</v>
      </c>
      <c r="F294" s="91">
        <f t="shared" si="11"/>
        <v>31.523312992327181</v>
      </c>
      <c r="G294" s="91">
        <f t="shared" si="12"/>
        <v>126.02573094192047</v>
      </c>
      <c r="H294" s="91">
        <f t="shared" si="13"/>
        <v>4402.7397444106773</v>
      </c>
      <c r="I294" s="125">
        <v>2</v>
      </c>
    </row>
    <row r="295" spans="2:9" x14ac:dyDescent="0.25">
      <c r="B295" s="70">
        <v>88</v>
      </c>
      <c r="C295" s="127">
        <f t="shared" si="8"/>
        <v>4.1541768627786677</v>
      </c>
      <c r="D295" s="91">
        <f t="shared" si="9"/>
        <v>0.5</v>
      </c>
      <c r="E295" s="91">
        <f t="shared" si="10"/>
        <v>23.553534193744525</v>
      </c>
      <c r="F295" s="91">
        <f t="shared" si="11"/>
        <v>31.259878061500196</v>
      </c>
      <c r="G295" s="91">
        <f t="shared" si="12"/>
        <v>124.96449453034302</v>
      </c>
      <c r="H295" s="91">
        <f t="shared" si="13"/>
        <v>4309.4966360220296</v>
      </c>
      <c r="I295" s="125">
        <v>2</v>
      </c>
    </row>
    <row r="296" spans="2:9" x14ac:dyDescent="0.25">
      <c r="B296" s="70">
        <v>89</v>
      </c>
      <c r="C296" s="127">
        <f t="shared" si="8"/>
        <v>4.1484895863905686</v>
      </c>
      <c r="D296" s="91">
        <f t="shared" si="9"/>
        <v>0.5</v>
      </c>
      <c r="E296" s="91">
        <f t="shared" si="10"/>
        <v>23.392238871625459</v>
      </c>
      <c r="F296" s="91">
        <f t="shared" si="11"/>
        <v>30.995427570272881</v>
      </c>
      <c r="G296" s="91">
        <f t="shared" si="12"/>
        <v>123.89806043590603</v>
      </c>
      <c r="H296" s="91">
        <f t="shared" si="13"/>
        <v>4217.3766112756603</v>
      </c>
      <c r="I296" s="125">
        <v>2</v>
      </c>
    </row>
    <row r="297" spans="2:9" x14ac:dyDescent="0.25">
      <c r="B297" s="70">
        <v>90</v>
      </c>
      <c r="C297" s="127">
        <f t="shared" si="8"/>
        <v>4.1425747633935881</v>
      </c>
      <c r="D297" s="91">
        <f t="shared" si="9"/>
        <v>0.5</v>
      </c>
      <c r="E297" s="91">
        <f t="shared" si="10"/>
        <v>23.230662159362886</v>
      </c>
      <c r="F297" s="91">
        <f t="shared" si="11"/>
        <v>30.730000947089994</v>
      </c>
      <c r="G297" s="91">
        <f t="shared" si="12"/>
        <v>122.82660509754318</v>
      </c>
      <c r="H297" s="91">
        <f t="shared" si="13"/>
        <v>4126.3817668974389</v>
      </c>
      <c r="I297" s="125">
        <v>2</v>
      </c>
    </row>
    <row r="298" spans="2:9" x14ac:dyDescent="0.25">
      <c r="B298" s="70">
        <v>91</v>
      </c>
      <c r="C298" s="127">
        <f t="shared" si="8"/>
        <v>4.1364196982132162</v>
      </c>
      <c r="D298" s="91">
        <f t="shared" si="9"/>
        <v>0.5</v>
      </c>
      <c r="E298" s="91">
        <f t="shared" si="10"/>
        <v>23.068866709588459</v>
      </c>
      <c r="F298" s="91">
        <f t="shared" si="11"/>
        <v>30.463637620396284</v>
      </c>
      <c r="G298" s="91">
        <f t="shared" si="12"/>
        <v>121.75030495418812</v>
      </c>
      <c r="H298" s="91">
        <f t="shared" si="13"/>
        <v>4036.5141996132379</v>
      </c>
      <c r="I298" s="125">
        <v>2</v>
      </c>
    </row>
    <row r="299" spans="2:9" x14ac:dyDescent="0.25">
      <c r="B299" s="70">
        <v>92</v>
      </c>
      <c r="C299" s="127">
        <f t="shared" si="8"/>
        <v>4.1300116952749377</v>
      </c>
      <c r="D299" s="91">
        <f t="shared" si="9"/>
        <v>0.5</v>
      </c>
      <c r="E299" s="91">
        <f t="shared" si="10"/>
        <v>22.906915174933829</v>
      </c>
      <c r="F299" s="91">
        <f t="shared" si="11"/>
        <v>30.196377018636504</v>
      </c>
      <c r="G299" s="91">
        <f t="shared" si="12"/>
        <v>120.66933644477456</v>
      </c>
      <c r="H299" s="91">
        <f t="shared" si="13"/>
        <v>3947.7760061489284</v>
      </c>
      <c r="I299" s="125">
        <v>2</v>
      </c>
    </row>
    <row r="300" spans="2:9" x14ac:dyDescent="0.25">
      <c r="B300" s="70">
        <v>93</v>
      </c>
      <c r="C300" s="127">
        <f t="shared" si="8"/>
        <v>4.1233380590042437</v>
      </c>
      <c r="D300" s="91">
        <f t="shared" si="9"/>
        <v>0.5</v>
      </c>
      <c r="E300" s="91">
        <f t="shared" si="10"/>
        <v>22.744870208030651</v>
      </c>
      <c r="F300" s="91">
        <f t="shared" si="11"/>
        <v>29.928258570255405</v>
      </c>
      <c r="G300" s="91">
        <f t="shared" si="12"/>
        <v>119.58387600823616</v>
      </c>
      <c r="H300" s="91">
        <f t="shared" si="13"/>
        <v>3860.1692832303829</v>
      </c>
      <c r="I300" s="125">
        <v>2</v>
      </c>
    </row>
    <row r="301" spans="2:9" x14ac:dyDescent="0.25">
      <c r="B301" s="70">
        <v>94</v>
      </c>
      <c r="C301" s="127">
        <f t="shared" si="8"/>
        <v>4.1163860938266197</v>
      </c>
      <c r="D301" s="91">
        <f t="shared" si="9"/>
        <v>0.5</v>
      </c>
      <c r="E301" s="91">
        <f t="shared" si="10"/>
        <v>22.582794461510574</v>
      </c>
      <c r="F301" s="91">
        <f t="shared" si="11"/>
        <v>29.659321703697742</v>
      </c>
      <c r="G301" s="91">
        <f t="shared" si="12"/>
        <v>118.49410008350657</v>
      </c>
      <c r="H301" s="91">
        <f t="shared" si="13"/>
        <v>3773.6961275834719</v>
      </c>
      <c r="I301" s="125">
        <v>2</v>
      </c>
    </row>
    <row r="302" spans="2:9" x14ac:dyDescent="0.25">
      <c r="B302" s="70">
        <v>95</v>
      </c>
      <c r="C302" s="127">
        <f t="shared" si="8"/>
        <v>4.1091431041675541</v>
      </c>
      <c r="D302" s="91">
        <f t="shared" si="9"/>
        <v>0.5</v>
      </c>
      <c r="E302" s="91">
        <f t="shared" si="10"/>
        <v>22.420750588005255</v>
      </c>
      <c r="F302" s="91">
        <f t="shared" si="11"/>
        <v>29.389605847408259</v>
      </c>
      <c r="G302" s="91">
        <f t="shared" si="12"/>
        <v>117.40018510951948</v>
      </c>
      <c r="H302" s="91">
        <f t="shared" si="13"/>
        <v>3688.3586359340684</v>
      </c>
      <c r="I302" s="125">
        <v>2</v>
      </c>
    </row>
    <row r="303" spans="2:9" x14ac:dyDescent="0.25">
      <c r="B303" s="70">
        <v>96</v>
      </c>
      <c r="C303" s="127">
        <f t="shared" si="8"/>
        <v>4.1015963944525353</v>
      </c>
      <c r="D303" s="91">
        <f t="shared" si="9"/>
        <v>0.5</v>
      </c>
      <c r="E303" s="91">
        <f t="shared" si="10"/>
        <v>22.258801240146344</v>
      </c>
      <c r="F303" s="91">
        <f t="shared" si="11"/>
        <v>29.119150429831716</v>
      </c>
      <c r="G303" s="91">
        <f t="shared" si="12"/>
        <v>116.30230752520856</v>
      </c>
      <c r="H303" s="91">
        <f t="shared" si="13"/>
        <v>3604.158905008042</v>
      </c>
      <c r="I303" s="125">
        <v>2</v>
      </c>
    </row>
    <row r="304" spans="2:9" x14ac:dyDescent="0.25">
      <c r="B304" s="70">
        <v>97</v>
      </c>
      <c r="C304" s="127">
        <f t="shared" si="8"/>
        <v>4.0937332691070507</v>
      </c>
      <c r="D304" s="91">
        <f t="shared" si="9"/>
        <v>0.5</v>
      </c>
      <c r="E304" s="91">
        <f t="shared" si="10"/>
        <v>22.097009070565491</v>
      </c>
      <c r="F304" s="91">
        <f t="shared" si="11"/>
        <v>28.847994879412866</v>
      </c>
      <c r="G304" s="91">
        <f t="shared" si="12"/>
        <v>115.20064376950751</v>
      </c>
      <c r="H304" s="91">
        <f t="shared" si="13"/>
        <v>3521.0990315312661</v>
      </c>
      <c r="I304" s="125">
        <v>2</v>
      </c>
    </row>
    <row r="305" spans="2:9" x14ac:dyDescent="0.25">
      <c r="B305" s="70">
        <v>98</v>
      </c>
      <c r="C305" s="127">
        <f t="shared" si="8"/>
        <v>4.0855410325565886</v>
      </c>
      <c r="D305" s="91">
        <f t="shared" si="9"/>
        <v>0.5</v>
      </c>
      <c r="E305" s="91">
        <f t="shared" si="10"/>
        <v>21.935436731894349</v>
      </c>
      <c r="F305" s="91">
        <f t="shared" si="11"/>
        <v>28.576178624596455</v>
      </c>
      <c r="G305" s="91">
        <f t="shared" si="12"/>
        <v>114.09537028134994</v>
      </c>
      <c r="H305" s="91">
        <f t="shared" si="13"/>
        <v>3439.1811122296112</v>
      </c>
      <c r="I305" s="125">
        <v>2</v>
      </c>
    </row>
    <row r="306" spans="2:9" x14ac:dyDescent="0.25">
      <c r="B306" s="70">
        <v>99</v>
      </c>
      <c r="C306" s="127">
        <f t="shared" si="8"/>
        <v>4.0770069892266365</v>
      </c>
      <c r="D306" s="91">
        <f t="shared" si="9"/>
        <v>0.5</v>
      </c>
      <c r="E306" s="91">
        <f t="shared" si="10"/>
        <v>21.774146876764572</v>
      </c>
      <c r="F306" s="91">
        <f t="shared" si="11"/>
        <v>28.303741093827238</v>
      </c>
      <c r="G306" s="91">
        <f t="shared" si="12"/>
        <v>112.98666349966959</v>
      </c>
      <c r="H306" s="91">
        <f t="shared" si="13"/>
        <v>3358.4072438289481</v>
      </c>
      <c r="I306" s="125">
        <v>2</v>
      </c>
    </row>
    <row r="307" spans="2:9" x14ac:dyDescent="0.25">
      <c r="B307" s="70">
        <v>100</v>
      </c>
      <c r="C307" s="127">
        <f t="shared" si="8"/>
        <v>4.0681184435426818</v>
      </c>
      <c r="D307" s="91">
        <f t="shared" si="9"/>
        <v>0.5</v>
      </c>
      <c r="E307" s="91">
        <f t="shared" si="10"/>
        <v>21.613202157807812</v>
      </c>
      <c r="F307" s="91">
        <f t="shared" si="11"/>
        <v>28.030721715549969</v>
      </c>
      <c r="G307" s="91">
        <f t="shared" si="12"/>
        <v>111.87469986340008</v>
      </c>
      <c r="H307" s="91">
        <f t="shared" si="13"/>
        <v>3278.7795230551501</v>
      </c>
      <c r="I307" s="125">
        <v>2</v>
      </c>
    </row>
    <row r="308" spans="2:9" x14ac:dyDescent="0.25">
      <c r="B308" s="70">
        <v>101</v>
      </c>
      <c r="C308" s="127">
        <f t="shared" si="8"/>
        <v>4.0588626999302138</v>
      </c>
      <c r="D308" s="91">
        <f t="shared" si="9"/>
        <v>0.5</v>
      </c>
      <c r="E308" s="91">
        <f t="shared" si="10"/>
        <v>21.452665227655721</v>
      </c>
      <c r="F308" s="91">
        <f t="shared" si="11"/>
        <v>27.757159918209396</v>
      </c>
      <c r="G308" s="91">
        <f t="shared" si="12"/>
        <v>110.75965581147513</v>
      </c>
      <c r="H308" s="91">
        <f t="shared" si="13"/>
        <v>3200.3000466340868</v>
      </c>
      <c r="I308" s="125">
        <v>2</v>
      </c>
    </row>
    <row r="309" spans="2:9" x14ac:dyDescent="0.25">
      <c r="B309" s="70">
        <v>102</v>
      </c>
      <c r="C309" s="127">
        <f t="shared" si="8"/>
        <v>4.0492270628147189</v>
      </c>
      <c r="D309" s="91">
        <f t="shared" si="9"/>
        <v>0.5</v>
      </c>
      <c r="E309" s="91">
        <f t="shared" si="10"/>
        <v>21.292598738939951</v>
      </c>
      <c r="F309" s="91">
        <f t="shared" si="11"/>
        <v>27.483095130250277</v>
      </c>
      <c r="G309" s="91">
        <f t="shared" si="12"/>
        <v>109.64170778282836</v>
      </c>
      <c r="H309" s="91">
        <f t="shared" si="13"/>
        <v>3122.9709112916316</v>
      </c>
      <c r="I309" s="125">
        <v>2</v>
      </c>
    </row>
    <row r="310" spans="2:9" x14ac:dyDescent="0.25">
      <c r="B310" s="70">
        <v>103</v>
      </c>
      <c r="C310" s="127">
        <f t="shared" si="8"/>
        <v>4.0391988366216856</v>
      </c>
      <c r="D310" s="91">
        <f t="shared" si="9"/>
        <v>0.5</v>
      </c>
      <c r="E310" s="91">
        <f t="shared" si="10"/>
        <v>21.133065344292156</v>
      </c>
      <c r="F310" s="91">
        <f t="shared" si="11"/>
        <v>27.208566780117359</v>
      </c>
      <c r="G310" s="91">
        <f t="shared" si="12"/>
        <v>108.52103221639348</v>
      </c>
      <c r="H310" s="91">
        <f t="shared" si="13"/>
        <v>3046.7942137536556</v>
      </c>
      <c r="I310" s="125">
        <v>2</v>
      </c>
    </row>
    <row r="311" spans="2:9" x14ac:dyDescent="0.25">
      <c r="B311" s="70">
        <v>104</v>
      </c>
      <c r="C311" s="127">
        <f t="shared" si="8"/>
        <v>4.0287653257766021</v>
      </c>
      <c r="D311" s="91">
        <f t="shared" si="9"/>
        <v>0.5</v>
      </c>
      <c r="E311" s="91">
        <f t="shared" si="10"/>
        <v>20.974127696343984</v>
      </c>
      <c r="F311" s="91">
        <f t="shared" si="11"/>
        <v>26.933614296255392</v>
      </c>
      <c r="G311" s="91">
        <f t="shared" si="12"/>
        <v>107.39780555110416</v>
      </c>
      <c r="H311" s="91">
        <f t="shared" si="13"/>
        <v>2971.772050746029</v>
      </c>
      <c r="I311" s="125">
        <v>2</v>
      </c>
    </row>
    <row r="312" spans="2:9" x14ac:dyDescent="0.25">
      <c r="B312" s="70">
        <v>105</v>
      </c>
      <c r="C312" s="127">
        <f t="shared" si="8"/>
        <v>4.017913834704955</v>
      </c>
      <c r="D312" s="91">
        <f t="shared" si="9"/>
        <v>0.5</v>
      </c>
      <c r="E312" s="91">
        <f t="shared" si="10"/>
        <v>20.815848447727095</v>
      </c>
      <c r="F312" s="91">
        <f t="shared" si="11"/>
        <v>26.658277107109136</v>
      </c>
      <c r="G312" s="91">
        <f t="shared" si="12"/>
        <v>106.27220422589406</v>
      </c>
      <c r="H312" s="91">
        <f t="shared" si="13"/>
        <v>2897.906518994625</v>
      </c>
      <c r="I312" s="125">
        <v>2</v>
      </c>
    </row>
    <row r="313" spans="2:9" x14ac:dyDescent="0.25">
      <c r="B313" s="70">
        <v>106</v>
      </c>
      <c r="C313" s="127">
        <f t="shared" si="8"/>
        <v>4.0066316678322336</v>
      </c>
      <c r="D313" s="91">
        <f t="shared" si="9"/>
        <v>0.5</v>
      </c>
      <c r="E313" s="91">
        <f t="shared" si="10"/>
        <v>20.658290251073133</v>
      </c>
      <c r="F313" s="91">
        <f t="shared" si="11"/>
        <v>26.382594641123337</v>
      </c>
      <c r="G313" s="91">
        <f t="shared" si="12"/>
        <v>105.14440467969686</v>
      </c>
      <c r="H313" s="91">
        <f t="shared" si="13"/>
        <v>2825.1997152253143</v>
      </c>
      <c r="I313" s="125">
        <v>2</v>
      </c>
    </row>
    <row r="314" spans="2:9" x14ac:dyDescent="0.25">
      <c r="B314" s="70">
        <v>107</v>
      </c>
      <c r="C314" s="127">
        <f t="shared" si="8"/>
        <v>3.9949061295839257</v>
      </c>
      <c r="D314" s="91">
        <f t="shared" si="9"/>
        <v>0.5</v>
      </c>
      <c r="E314" s="91">
        <f t="shared" si="10"/>
        <v>20.501515759013756</v>
      </c>
      <c r="F314" s="91">
        <f t="shared" si="11"/>
        <v>26.10660632674275</v>
      </c>
      <c r="G314" s="91">
        <f t="shared" si="12"/>
        <v>104.01458335144622</v>
      </c>
      <c r="H314" s="91">
        <f t="shared" si="13"/>
        <v>2753.6537361639685</v>
      </c>
      <c r="I314" s="125">
        <v>2</v>
      </c>
    </row>
    <row r="315" spans="2:9" x14ac:dyDescent="0.25">
      <c r="B315" s="70">
        <v>108</v>
      </c>
      <c r="C315" s="127">
        <f t="shared" si="8"/>
        <v>3.9827245243855183</v>
      </c>
      <c r="D315" s="91">
        <f t="shared" si="9"/>
        <v>0.5</v>
      </c>
      <c r="E315" s="91">
        <f t="shared" si="10"/>
        <v>20.345587624180617</v>
      </c>
      <c r="F315" s="91">
        <f t="shared" si="11"/>
        <v>25.830351592412121</v>
      </c>
      <c r="G315" s="91">
        <f t="shared" si="12"/>
        <v>102.88291668007582</v>
      </c>
      <c r="H315" s="91">
        <f t="shared" si="13"/>
        <v>2683.2706785364589</v>
      </c>
      <c r="I315" s="125">
        <v>2</v>
      </c>
    </row>
    <row r="316" spans="2:9" x14ac:dyDescent="0.25">
      <c r="B316" s="70">
        <v>109</v>
      </c>
      <c r="C316" s="127">
        <f t="shared" si="8"/>
        <v>3.9700741566624993</v>
      </c>
      <c r="D316" s="91">
        <f t="shared" si="9"/>
        <v>0.5</v>
      </c>
      <c r="E316" s="91">
        <f t="shared" si="10"/>
        <v>20.190568499205362</v>
      </c>
      <c r="F316" s="91">
        <f t="shared" si="11"/>
        <v>25.553869866576214</v>
      </c>
      <c r="G316" s="91">
        <f t="shared" si="12"/>
        <v>101.74958110451936</v>
      </c>
      <c r="H316" s="91">
        <f t="shared" si="13"/>
        <v>2614.0526390686573</v>
      </c>
      <c r="I316" s="125">
        <v>2</v>
      </c>
    </row>
    <row r="317" spans="2:9" x14ac:dyDescent="0.25">
      <c r="B317" s="70">
        <v>110</v>
      </c>
      <c r="C317" s="127">
        <f t="shared" si="8"/>
        <v>3.9569423308403575</v>
      </c>
      <c r="D317" s="91">
        <f t="shared" si="9"/>
        <v>0.5</v>
      </c>
      <c r="E317" s="91">
        <f t="shared" si="10"/>
        <v>20.036521036719648</v>
      </c>
      <c r="F317" s="91">
        <f t="shared" si="11"/>
        <v>25.277200577679771</v>
      </c>
      <c r="G317" s="91">
        <f t="shared" si="12"/>
        <v>100.61475306371047</v>
      </c>
      <c r="H317" s="91">
        <f t="shared" si="13"/>
        <v>2546.001714486436</v>
      </c>
      <c r="I317" s="125">
        <v>2</v>
      </c>
    </row>
    <row r="318" spans="2:9" x14ac:dyDescent="0.25">
      <c r="B318" s="70">
        <v>111</v>
      </c>
      <c r="C318" s="127">
        <f t="shared" si="8"/>
        <v>3.9433163513445795</v>
      </c>
      <c r="D318" s="91">
        <f t="shared" si="9"/>
        <v>0.5</v>
      </c>
      <c r="E318" s="91">
        <f t="shared" si="10"/>
        <v>19.883507889355123</v>
      </c>
      <c r="F318" s="91">
        <f t="shared" si="11"/>
        <v>25.000383154167544</v>
      </c>
      <c r="G318" s="91">
        <f t="shared" si="12"/>
        <v>99.478608996582835</v>
      </c>
      <c r="H318" s="91">
        <f t="shared" si="13"/>
        <v>2479.1200015156646</v>
      </c>
      <c r="I318" s="125">
        <v>2</v>
      </c>
    </row>
    <row r="319" spans="2:9" x14ac:dyDescent="0.25">
      <c r="B319" s="70">
        <v>112</v>
      </c>
      <c r="C319" s="127">
        <f t="shared" si="8"/>
        <v>3.9291835226006544</v>
      </c>
      <c r="D319" s="91">
        <f t="shared" si="9"/>
        <v>0.5</v>
      </c>
      <c r="E319" s="91">
        <f t="shared" si="10"/>
        <v>19.731591709743448</v>
      </c>
      <c r="F319" s="91">
        <f t="shared" si="11"/>
        <v>24.72345702448429</v>
      </c>
      <c r="G319" s="91">
        <f t="shared" si="12"/>
        <v>98.341325342070149</v>
      </c>
      <c r="H319" s="91">
        <f t="shared" si="13"/>
        <v>2413.4095968822166</v>
      </c>
      <c r="I319" s="125">
        <v>2</v>
      </c>
    </row>
    <row r="320" spans="2:9" x14ac:dyDescent="0.25">
      <c r="B320" s="70">
        <v>113</v>
      </c>
      <c r="C320" s="127">
        <f t="shared" si="8"/>
        <v>3.9145311490340693</v>
      </c>
      <c r="D320" s="91">
        <f t="shared" si="9"/>
        <v>0.5</v>
      </c>
      <c r="E320" s="91">
        <f t="shared" si="10"/>
        <v>19.580835150516268</v>
      </c>
      <c r="F320" s="91">
        <f t="shared" si="11"/>
        <v>24.44646161707476</v>
      </c>
      <c r="G320" s="91">
        <f t="shared" si="12"/>
        <v>97.203078539106059</v>
      </c>
      <c r="H320" s="91">
        <f t="shared" si="13"/>
        <v>2348.8725973119626</v>
      </c>
      <c r="I320" s="125">
        <v>2</v>
      </c>
    </row>
    <row r="321" spans="2:9" x14ac:dyDescent="0.25">
      <c r="B321" s="70">
        <v>114</v>
      </c>
      <c r="C321" s="127">
        <f t="shared" si="8"/>
        <v>3.899346535070312</v>
      </c>
      <c r="D321" s="91">
        <f t="shared" si="9"/>
        <v>0.5</v>
      </c>
      <c r="E321" s="91">
        <f t="shared" si="10"/>
        <v>19.431300864305236</v>
      </c>
      <c r="F321" s="91">
        <f t="shared" si="11"/>
        <v>24.169436360383706</v>
      </c>
      <c r="G321" s="91">
        <f t="shared" si="12"/>
        <v>96.064045026624242</v>
      </c>
      <c r="H321" s="91">
        <f t="shared" si="13"/>
        <v>2285.5110995307741</v>
      </c>
      <c r="I321" s="125">
        <v>2</v>
      </c>
    </row>
    <row r="322" spans="2:9" x14ac:dyDescent="0.25">
      <c r="B322" s="70">
        <v>115</v>
      </c>
      <c r="C322" s="127">
        <f t="shared" si="8"/>
        <v>3.883616985134871</v>
      </c>
      <c r="D322" s="91">
        <f t="shared" si="9"/>
        <v>0.5</v>
      </c>
      <c r="E322" s="91">
        <f t="shared" si="10"/>
        <v>19.283051503742008</v>
      </c>
      <c r="F322" s="91">
        <f t="shared" si="11"/>
        <v>23.892420682855878</v>
      </c>
      <c r="G322" s="91">
        <f t="shared" si="12"/>
        <v>94.924401243558378</v>
      </c>
      <c r="H322" s="91">
        <f t="shared" si="13"/>
        <v>2223.3272002645235</v>
      </c>
      <c r="I322" s="125">
        <v>2</v>
      </c>
    </row>
    <row r="323" spans="2:9" x14ac:dyDescent="0.25">
      <c r="B323" s="70">
        <v>116</v>
      </c>
      <c r="C323" s="127">
        <f t="shared" si="8"/>
        <v>3.8673298036532335</v>
      </c>
      <c r="D323" s="91">
        <f t="shared" si="9"/>
        <v>0.5</v>
      </c>
      <c r="E323" s="91">
        <f t="shared" si="10"/>
        <v>19.136149721458231</v>
      </c>
      <c r="F323" s="91">
        <f t="shared" si="11"/>
        <v>23.615454012936034</v>
      </c>
      <c r="G323" s="91">
        <f t="shared" si="12"/>
        <v>93.784323628842145</v>
      </c>
      <c r="H323" s="91">
        <f t="shared" si="13"/>
        <v>2162.3229962390815</v>
      </c>
      <c r="I323" s="125">
        <v>2</v>
      </c>
    </row>
    <row r="324" spans="2:9" x14ac:dyDescent="0.25">
      <c r="B324" s="70">
        <v>117</v>
      </c>
      <c r="C324" s="127">
        <f t="shared" si="8"/>
        <v>3.8504722950508881</v>
      </c>
      <c r="D324" s="91">
        <f t="shared" si="9"/>
        <v>0.5</v>
      </c>
      <c r="E324" s="91">
        <f t="shared" si="10"/>
        <v>18.99065817008556</v>
      </c>
      <c r="F324" s="91">
        <f t="shared" si="11"/>
        <v>23.338575779068918</v>
      </c>
      <c r="G324" s="91">
        <f t="shared" si="12"/>
        <v>92.643988621409207</v>
      </c>
      <c r="H324" s="91">
        <f t="shared" si="13"/>
        <v>2102.5005841803186</v>
      </c>
      <c r="I324" s="125">
        <v>2</v>
      </c>
    </row>
    <row r="325" spans="2:9" x14ac:dyDescent="0.25">
      <c r="B325" s="70">
        <v>118</v>
      </c>
      <c r="C325" s="127">
        <f t="shared" si="8"/>
        <v>3.8330317637533216</v>
      </c>
      <c r="D325" s="91">
        <f t="shared" si="9"/>
        <v>0.5</v>
      </c>
      <c r="E325" s="91">
        <f t="shared" si="10"/>
        <v>18.846639502255652</v>
      </c>
      <c r="F325" s="91">
        <f t="shared" si="11"/>
        <v>23.061825409699285</v>
      </c>
      <c r="G325" s="91">
        <f t="shared" si="12"/>
        <v>91.503572660193228</v>
      </c>
      <c r="H325" s="91">
        <f t="shared" si="13"/>
        <v>2043.8620608141091</v>
      </c>
      <c r="I325" s="125">
        <v>2</v>
      </c>
    </row>
    <row r="326" spans="2:9" x14ac:dyDescent="0.25">
      <c r="B326" s="70">
        <v>119</v>
      </c>
      <c r="C326" s="127">
        <f t="shared" si="8"/>
        <v>3.8149955141860232</v>
      </c>
      <c r="D326" s="91">
        <f t="shared" si="9"/>
        <v>0.5</v>
      </c>
      <c r="E326" s="91">
        <f t="shared" si="10"/>
        <v>18.704156370600153</v>
      </c>
      <c r="F326" s="91">
        <f t="shared" si="11"/>
        <v>22.785242333271889</v>
      </c>
      <c r="G326" s="91">
        <f t="shared" si="12"/>
        <v>90.363252184127902</v>
      </c>
      <c r="H326" s="91">
        <f t="shared" si="13"/>
        <v>1986.4095228663218</v>
      </c>
      <c r="I326" s="125">
        <v>2</v>
      </c>
    </row>
    <row r="327" spans="2:9" x14ac:dyDescent="0.25">
      <c r="B327" s="129">
        <v>120</v>
      </c>
      <c r="C327" s="127">
        <f t="shared" si="8"/>
        <v>3.7963508507744796</v>
      </c>
      <c r="D327" s="91">
        <f t="shared" si="9"/>
        <v>0.5</v>
      </c>
      <c r="E327" s="91">
        <f t="shared" si="10"/>
        <v>18.563271427750713</v>
      </c>
      <c r="F327" s="91">
        <f t="shared" si="11"/>
        <v>22.50886597823148</v>
      </c>
      <c r="G327" s="91">
        <f t="shared" si="12"/>
        <v>89.223203632146877</v>
      </c>
      <c r="H327" s="91">
        <f t="shared" si="13"/>
        <v>1930.1450670628301</v>
      </c>
      <c r="I327" s="125">
        <v>2</v>
      </c>
    </row>
    <row r="328" spans="2:9" x14ac:dyDescent="0.25">
      <c r="B328" s="70">
        <v>121</v>
      </c>
      <c r="C328" s="127">
        <f t="shared" si="8"/>
        <v>3.7770850779441791</v>
      </c>
      <c r="D328" s="91">
        <f t="shared" si="9"/>
        <v>0.5</v>
      </c>
      <c r="E328" s="91">
        <f t="shared" si="10"/>
        <v>18.424047326338993</v>
      </c>
      <c r="F328" s="91">
        <f t="shared" si="11"/>
        <v>22.23273577302281</v>
      </c>
      <c r="G328" s="91">
        <f t="shared" si="12"/>
        <v>88.083603443183847</v>
      </c>
      <c r="H328" s="91">
        <f t="shared" si="13"/>
        <v>1875.0707901295054</v>
      </c>
      <c r="I328" s="125">
        <v>2</v>
      </c>
    </row>
    <row r="329" spans="2:9" x14ac:dyDescent="0.25">
      <c r="B329" s="70">
        <v>122</v>
      </c>
      <c r="C329" s="127">
        <f t="shared" si="8"/>
        <v>3.7571855001206096</v>
      </c>
      <c r="D329" s="91">
        <f t="shared" si="9"/>
        <v>0.5</v>
      </c>
      <c r="E329" s="91">
        <f t="shared" si="10"/>
        <v>18.28654671899664</v>
      </c>
      <c r="F329" s="91">
        <f t="shared" si="11"/>
        <v>21.956891146090637</v>
      </c>
      <c r="G329" s="91">
        <f t="shared" si="12"/>
        <v>86.944628056172476</v>
      </c>
      <c r="H329" s="91">
        <f t="shared" si="13"/>
        <v>1821.1887887922176</v>
      </c>
      <c r="I329" s="125">
        <v>2</v>
      </c>
    </row>
    <row r="330" spans="2:9" x14ac:dyDescent="0.25">
      <c r="B330" s="70">
        <v>123</v>
      </c>
      <c r="C330" s="127">
        <f t="shared" si="8"/>
        <v>3.7366394217292589</v>
      </c>
      <c r="D330" s="91">
        <f t="shared" si="9"/>
        <v>0.5</v>
      </c>
      <c r="E330" s="91">
        <f t="shared" si="10"/>
        <v>18.150832258355308</v>
      </c>
      <c r="F330" s="91">
        <f t="shared" si="11"/>
        <v>21.681371525879701</v>
      </c>
      <c r="G330" s="91">
        <f t="shared" si="12"/>
        <v>85.806453910046429</v>
      </c>
      <c r="H330" s="91">
        <f t="shared" si="13"/>
        <v>1768.5011597768398</v>
      </c>
      <c r="I330" s="125">
        <v>2</v>
      </c>
    </row>
    <row r="331" spans="2:9" x14ac:dyDescent="0.25">
      <c r="B331" s="70">
        <v>124</v>
      </c>
      <c r="C331" s="127">
        <f t="shared" si="8"/>
        <v>3.7154341471956149</v>
      </c>
      <c r="D331" s="91">
        <f t="shared" si="9"/>
        <v>0.5</v>
      </c>
      <c r="E331" s="91">
        <f t="shared" si="10"/>
        <v>18.016966597046647</v>
      </c>
      <c r="F331" s="91">
        <f t="shared" si="11"/>
        <v>21.406216340834767</v>
      </c>
      <c r="G331" s="91">
        <f t="shared" si="12"/>
        <v>84.669257443739397</v>
      </c>
      <c r="H331" s="91">
        <f t="shared" si="13"/>
        <v>1717.0099998092419</v>
      </c>
      <c r="I331" s="125">
        <v>2</v>
      </c>
    </row>
    <row r="332" spans="2:9" x14ac:dyDescent="0.25">
      <c r="B332" s="70">
        <v>125</v>
      </c>
      <c r="C332" s="127">
        <f t="shared" si="8"/>
        <v>3.693556980945166</v>
      </c>
      <c r="D332" s="91">
        <f t="shared" si="9"/>
        <v>0.5</v>
      </c>
      <c r="E332" s="91">
        <f t="shared" si="10"/>
        <v>17.885012387702314</v>
      </c>
      <c r="F332" s="91">
        <f t="shared" si="11"/>
        <v>21.131465019400579</v>
      </c>
      <c r="G332" s="91">
        <f t="shared" si="12"/>
        <v>83.533215096185032</v>
      </c>
      <c r="H332" s="91">
        <f t="shared" si="13"/>
        <v>1666.717405615298</v>
      </c>
      <c r="I332" s="125">
        <v>2</v>
      </c>
    </row>
    <row r="333" spans="2:9" x14ac:dyDescent="0.25">
      <c r="B333" s="70">
        <v>126</v>
      </c>
      <c r="C333" s="127">
        <f t="shared" ref="C333:C363" si="14">($D$102*($B332-$D$86)^3)+($E$102*($B332-$D$86)^2)+($F$102*($B332-$D$86))+($G$102)</f>
        <v>3.6709952274033988</v>
      </c>
      <c r="D333" s="91">
        <f t="shared" ref="D333:D363" si="15">($D$103*($B332-$D$86)^3)+($E$103*($B332-$D$86)^2)+($F$103*($B332-$D$86))+($G$103)</f>
        <v>0.5</v>
      </c>
      <c r="E333" s="91">
        <f t="shared" ref="E333:E363" si="16">($D$104*($B332-$D$86)^3)+($E$104*($B332-$D$86)^2)+($F$104*($B332-$D$86))+($G$104)</f>
        <v>17.755032282953955</v>
      </c>
      <c r="F333" s="91">
        <f t="shared" ref="F333:F363" si="17">($D$105*($B332-$D$86)^3)+($E$105*($B332-$D$86)^2)+($F$105*($B332-$D$86))+($G$105)</f>
        <v>20.857156990021892</v>
      </c>
      <c r="G333" s="91">
        <f t="shared" ref="G333:G363" si="18">($D$106*($B332-$D$86)^3)+($E$106*($B332-$D$86)^2)+($F$106*($B332-$D$86))+($G$106)</f>
        <v>82.398503306317025</v>
      </c>
      <c r="H333" s="91">
        <f t="shared" ref="H333:H363" si="19">($D$107*($B332-$D$86)^3)+($E$107*($B332-$D$86)^2)+($F$107*($B332-$D$86))+($G$107)</f>
        <v>1617.625473920878</v>
      </c>
      <c r="I333" s="125">
        <v>2</v>
      </c>
    </row>
    <row r="334" spans="2:9" x14ac:dyDescent="0.25">
      <c r="B334" s="70">
        <v>127</v>
      </c>
      <c r="C334" s="127">
        <f t="shared" si="14"/>
        <v>3.6477361909958024</v>
      </c>
      <c r="D334" s="91">
        <f t="shared" si="15"/>
        <v>0.5</v>
      </c>
      <c r="E334" s="91">
        <f t="shared" si="16"/>
        <v>17.627088935433228</v>
      </c>
      <c r="F334" s="91">
        <f t="shared" si="17"/>
        <v>20.583331681143459</v>
      </c>
      <c r="G334" s="91">
        <f t="shared" si="18"/>
        <v>81.265298513069027</v>
      </c>
      <c r="H334" s="91">
        <f t="shared" si="19"/>
        <v>1569.7363014518533</v>
      </c>
      <c r="I334" s="125">
        <v>2</v>
      </c>
    </row>
    <row r="335" spans="2:9" x14ac:dyDescent="0.25">
      <c r="B335" s="70">
        <v>128</v>
      </c>
      <c r="C335" s="127">
        <f t="shared" si="14"/>
        <v>3.6237671761478638</v>
      </c>
      <c r="D335" s="91">
        <f t="shared" si="15"/>
        <v>0.5</v>
      </c>
      <c r="E335" s="91">
        <f t="shared" si="16"/>
        <v>17.501244997771781</v>
      </c>
      <c r="F335" s="91">
        <f t="shared" si="17"/>
        <v>20.310028521210025</v>
      </c>
      <c r="G335" s="91">
        <f t="shared" si="18"/>
        <v>80.13377715537473</v>
      </c>
      <c r="H335" s="91">
        <f t="shared" si="19"/>
        <v>1523.0519849340953</v>
      </c>
      <c r="I335" s="125">
        <v>2</v>
      </c>
    </row>
    <row r="336" spans="2:9" x14ac:dyDescent="0.25">
      <c r="B336" s="70">
        <v>129</v>
      </c>
      <c r="C336" s="127">
        <f t="shared" si="14"/>
        <v>3.5990754872850719</v>
      </c>
      <c r="D336" s="91">
        <f t="shared" si="15"/>
        <v>0.5</v>
      </c>
      <c r="E336" s="91">
        <f t="shared" si="16"/>
        <v>17.37756312260127</v>
      </c>
      <c r="F336" s="91">
        <f t="shared" si="17"/>
        <v>20.037286938666352</v>
      </c>
      <c r="G336" s="91">
        <f t="shared" si="18"/>
        <v>79.004115672167799</v>
      </c>
      <c r="H336" s="91">
        <f t="shared" si="19"/>
        <v>1477.5746210934767</v>
      </c>
      <c r="I336" s="125">
        <v>2</v>
      </c>
    </row>
    <row r="337" spans="2:9" x14ac:dyDescent="0.25">
      <c r="B337" s="70">
        <v>130</v>
      </c>
      <c r="C337" s="127">
        <f t="shared" si="14"/>
        <v>3.5736484288329131</v>
      </c>
      <c r="D337" s="91">
        <f t="shared" si="15"/>
        <v>0.5</v>
      </c>
      <c r="E337" s="91">
        <f t="shared" si="16"/>
        <v>17.256105962553342</v>
      </c>
      <c r="F337" s="91">
        <f t="shared" si="17"/>
        <v>19.765146361957189</v>
      </c>
      <c r="G337" s="91">
        <f t="shared" si="18"/>
        <v>77.876490502381913</v>
      </c>
      <c r="H337" s="91">
        <f t="shared" si="19"/>
        <v>1433.3063066558689</v>
      </c>
      <c r="I337" s="125">
        <v>2</v>
      </c>
    </row>
    <row r="338" spans="2:9" x14ac:dyDescent="0.25">
      <c r="B338" s="70">
        <v>131</v>
      </c>
      <c r="C338" s="127">
        <f t="shared" si="14"/>
        <v>3.5474733052168763</v>
      </c>
      <c r="D338" s="91">
        <f t="shared" si="15"/>
        <v>0.5</v>
      </c>
      <c r="E338" s="91">
        <f t="shared" si="16"/>
        <v>17.136936170259656</v>
      </c>
      <c r="F338" s="91">
        <f t="shared" si="17"/>
        <v>19.493646219527282</v>
      </c>
      <c r="G338" s="91">
        <f t="shared" si="18"/>
        <v>76.751078084950734</v>
      </c>
      <c r="H338" s="91">
        <f t="shared" si="19"/>
        <v>1390.2491383471406</v>
      </c>
      <c r="I338" s="125">
        <v>2</v>
      </c>
    </row>
    <row r="339" spans="2:9" x14ac:dyDescent="0.25">
      <c r="B339" s="129">
        <v>132</v>
      </c>
      <c r="C339" s="127">
        <f t="shared" si="14"/>
        <v>3.5205374208624494</v>
      </c>
      <c r="D339" s="91">
        <f t="shared" si="15"/>
        <v>0.5</v>
      </c>
      <c r="E339" s="91">
        <f t="shared" si="16"/>
        <v>17.02011639835186</v>
      </c>
      <c r="F339" s="91">
        <f t="shared" si="17"/>
        <v>19.222825939821391</v>
      </c>
      <c r="G339" s="91">
        <f t="shared" si="18"/>
        <v>75.628054858807928</v>
      </c>
      <c r="H339" s="91">
        <f t="shared" si="19"/>
        <v>1348.405212893168</v>
      </c>
      <c r="I339" s="125">
        <v>2</v>
      </c>
    </row>
    <row r="340" spans="2:9" x14ac:dyDescent="0.25">
      <c r="B340" s="70">
        <v>133</v>
      </c>
      <c r="C340" s="127">
        <f t="shared" si="14"/>
        <v>3.4928280801951197</v>
      </c>
      <c r="D340" s="91">
        <f t="shared" si="15"/>
        <v>0.5</v>
      </c>
      <c r="E340" s="91">
        <f t="shared" si="16"/>
        <v>16.905709299461606</v>
      </c>
      <c r="F340" s="91">
        <f t="shared" si="17"/>
        <v>18.952724951284267</v>
      </c>
      <c r="G340" s="91">
        <f t="shared" si="18"/>
        <v>74.507597262887188</v>
      </c>
      <c r="H340" s="91">
        <f t="shared" si="19"/>
        <v>1307.7766270198199</v>
      </c>
      <c r="I340" s="125">
        <v>2</v>
      </c>
    </row>
    <row r="341" spans="2:9" x14ac:dyDescent="0.25">
      <c r="B341" s="70">
        <v>134</v>
      </c>
      <c r="C341" s="127">
        <f t="shared" si="14"/>
        <v>3.4643325876403757</v>
      </c>
      <c r="D341" s="91">
        <f t="shared" si="15"/>
        <v>0.5</v>
      </c>
      <c r="E341" s="91">
        <f t="shared" si="16"/>
        <v>16.793777526220552</v>
      </c>
      <c r="F341" s="91">
        <f t="shared" si="17"/>
        <v>18.683382682360655</v>
      </c>
      <c r="G341" s="91">
        <f t="shared" si="18"/>
        <v>73.389881736122192</v>
      </c>
      <c r="H341" s="91">
        <f t="shared" si="19"/>
        <v>1268.3654774529678</v>
      </c>
      <c r="I341" s="125">
        <v>2</v>
      </c>
    </row>
    <row r="342" spans="2:9" x14ac:dyDescent="0.25">
      <c r="B342" s="70">
        <v>135</v>
      </c>
      <c r="C342" s="127">
        <f t="shared" si="14"/>
        <v>3.4350382476237047</v>
      </c>
      <c r="D342" s="91">
        <f t="shared" si="15"/>
        <v>0.5</v>
      </c>
      <c r="E342" s="91">
        <f t="shared" si="16"/>
        <v>16.68438373126034</v>
      </c>
      <c r="F342" s="91">
        <f t="shared" si="17"/>
        <v>18.414838561495319</v>
      </c>
      <c r="G342" s="91">
        <f t="shared" si="18"/>
        <v>72.275084717446575</v>
      </c>
      <c r="H342" s="91">
        <f t="shared" si="19"/>
        <v>1230.173860918484</v>
      </c>
      <c r="I342" s="125">
        <v>2</v>
      </c>
    </row>
    <row r="343" spans="2:9" x14ac:dyDescent="0.25">
      <c r="B343" s="70">
        <v>136</v>
      </c>
      <c r="C343" s="127">
        <f t="shared" si="14"/>
        <v>3.4049323645705947</v>
      </c>
      <c r="D343" s="91">
        <f t="shared" si="15"/>
        <v>0.5</v>
      </c>
      <c r="E343" s="91">
        <f t="shared" si="16"/>
        <v>16.577590567212635</v>
      </c>
      <c r="F343" s="91">
        <f t="shared" si="17"/>
        <v>18.147132017132996</v>
      </c>
      <c r="G343" s="91">
        <f t="shared" si="18"/>
        <v>71.163382645794044</v>
      </c>
      <c r="H343" s="91">
        <f t="shared" si="19"/>
        <v>1193.2038741422375</v>
      </c>
      <c r="I343" s="125">
        <v>2</v>
      </c>
    </row>
    <row r="344" spans="2:9" x14ac:dyDescent="0.25">
      <c r="B344" s="70">
        <v>137</v>
      </c>
      <c r="C344" s="127">
        <f t="shared" si="14"/>
        <v>3.3740022429065335</v>
      </c>
      <c r="D344" s="91">
        <f t="shared" si="15"/>
        <v>0.5</v>
      </c>
      <c r="E344" s="91">
        <f t="shared" si="16"/>
        <v>16.473460686709082</v>
      </c>
      <c r="F344" s="91">
        <f t="shared" si="17"/>
        <v>17.880302477718452</v>
      </c>
      <c r="G344" s="91">
        <f t="shared" si="18"/>
        <v>70.054951960098265</v>
      </c>
      <c r="H344" s="91">
        <f t="shared" si="19"/>
        <v>1157.4576138501043</v>
      </c>
      <c r="I344" s="125">
        <v>2</v>
      </c>
    </row>
    <row r="345" spans="2:9" x14ac:dyDescent="0.25">
      <c r="B345" s="70">
        <v>138</v>
      </c>
      <c r="C345" s="127">
        <f t="shared" si="14"/>
        <v>3.3422351870570095</v>
      </c>
      <c r="D345" s="91">
        <f t="shared" si="15"/>
        <v>0.5</v>
      </c>
      <c r="E345" s="91">
        <f t="shared" si="16"/>
        <v>16.372056742381332</v>
      </c>
      <c r="F345" s="91">
        <f t="shared" si="17"/>
        <v>17.614389371696433</v>
      </c>
      <c r="G345" s="91">
        <f t="shared" si="18"/>
        <v>68.9499690992929</v>
      </c>
      <c r="H345" s="91">
        <f t="shared" si="19"/>
        <v>1122.9371767679522</v>
      </c>
      <c r="I345" s="125">
        <v>2</v>
      </c>
    </row>
    <row r="346" spans="2:9" x14ac:dyDescent="0.25">
      <c r="B346" s="70">
        <v>139</v>
      </c>
      <c r="C346" s="127">
        <f t="shared" si="14"/>
        <v>3.3096185014475101</v>
      </c>
      <c r="D346" s="91">
        <f t="shared" si="15"/>
        <v>0.5</v>
      </c>
      <c r="E346" s="91">
        <f t="shared" si="16"/>
        <v>16.273441386861037</v>
      </c>
      <c r="F346" s="91">
        <f t="shared" si="17"/>
        <v>17.34943212751169</v>
      </c>
      <c r="G346" s="91">
        <f t="shared" si="18"/>
        <v>67.848610502311629</v>
      </c>
      <c r="H346" s="91">
        <f t="shared" si="19"/>
        <v>1089.6446596216565</v>
      </c>
      <c r="I346" s="125">
        <v>2</v>
      </c>
    </row>
    <row r="347" spans="2:9" x14ac:dyDescent="0.25">
      <c r="B347" s="70">
        <v>140</v>
      </c>
      <c r="C347" s="127">
        <f t="shared" si="14"/>
        <v>3.2761394905035233</v>
      </c>
      <c r="D347" s="91">
        <f t="shared" si="15"/>
        <v>0.5</v>
      </c>
      <c r="E347" s="91">
        <f t="shared" si="16"/>
        <v>16.177677272779853</v>
      </c>
      <c r="F347" s="91">
        <f t="shared" si="17"/>
        <v>17.085470173608979</v>
      </c>
      <c r="G347" s="91">
        <f t="shared" si="18"/>
        <v>66.751052608088116</v>
      </c>
      <c r="H347" s="91">
        <f t="shared" si="19"/>
        <v>1057.582159137085</v>
      </c>
      <c r="I347" s="125">
        <v>2</v>
      </c>
    </row>
    <row r="348" spans="2:9" x14ac:dyDescent="0.25">
      <c r="B348" s="70">
        <v>141</v>
      </c>
      <c r="C348" s="127">
        <f t="shared" si="14"/>
        <v>3.2417854586505364</v>
      </c>
      <c r="D348" s="91">
        <f t="shared" si="15"/>
        <v>0.5</v>
      </c>
      <c r="E348" s="91">
        <f t="shared" si="16"/>
        <v>16.084827052769434</v>
      </c>
      <c r="F348" s="91">
        <f t="shared" si="17"/>
        <v>16.822542938433045</v>
      </c>
      <c r="G348" s="91">
        <f t="shared" si="18"/>
        <v>65.657471855556054</v>
      </c>
      <c r="H348" s="91">
        <f t="shared" si="19"/>
        <v>1026.7517720401092</v>
      </c>
      <c r="I348" s="125">
        <v>2</v>
      </c>
    </row>
    <row r="349" spans="2:9" x14ac:dyDescent="0.25">
      <c r="B349" s="70">
        <v>142</v>
      </c>
      <c r="C349" s="127">
        <f t="shared" si="14"/>
        <v>3.2065437103140386</v>
      </c>
      <c r="D349" s="91">
        <f t="shared" si="15"/>
        <v>0.5</v>
      </c>
      <c r="E349" s="91">
        <f t="shared" si="16"/>
        <v>15.994953379461428</v>
      </c>
      <c r="F349" s="91">
        <f t="shared" si="17"/>
        <v>16.560689850428648</v>
      </c>
      <c r="G349" s="91">
        <f t="shared" si="18"/>
        <v>64.568044683649077</v>
      </c>
      <c r="H349" s="91">
        <f t="shared" si="19"/>
        <v>997.15559505660258</v>
      </c>
      <c r="I349" s="125">
        <v>2</v>
      </c>
    </row>
    <row r="350" spans="2:9" x14ac:dyDescent="0.25">
      <c r="B350" s="70">
        <v>143</v>
      </c>
      <c r="C350" s="127">
        <f t="shared" si="14"/>
        <v>3.1704015499195162</v>
      </c>
      <c r="D350" s="91">
        <f t="shared" si="15"/>
        <v>0.5</v>
      </c>
      <c r="E350" s="91">
        <f t="shared" si="16"/>
        <v>15.908118905487489</v>
      </c>
      <c r="F350" s="91">
        <f t="shared" si="17"/>
        <v>16.299950338040539</v>
      </c>
      <c r="G350" s="91">
        <f t="shared" si="18"/>
        <v>63.482947531300908</v>
      </c>
      <c r="H350" s="91">
        <f t="shared" si="19"/>
        <v>968.79572491243744</v>
      </c>
      <c r="I350" s="125">
        <v>2</v>
      </c>
    </row>
    <row r="351" spans="2:9" x14ac:dyDescent="0.25">
      <c r="B351" s="129">
        <v>144</v>
      </c>
      <c r="C351" s="127">
        <f t="shared" si="14"/>
        <v>3.1333462818924582</v>
      </c>
      <c r="D351" s="91">
        <f t="shared" si="15"/>
        <v>0.5</v>
      </c>
      <c r="E351" s="91">
        <f t="shared" si="16"/>
        <v>15.824386283479269</v>
      </c>
      <c r="F351" s="91">
        <f t="shared" si="17"/>
        <v>16.040363829713463</v>
      </c>
      <c r="G351" s="91">
        <f t="shared" si="18"/>
        <v>62.402356837445183</v>
      </c>
      <c r="H351" s="91">
        <f t="shared" si="19"/>
        <v>941.67425833348352</v>
      </c>
      <c r="I351" s="125">
        <v>2</v>
      </c>
    </row>
    <row r="352" spans="2:9" x14ac:dyDescent="0.25">
      <c r="B352" s="70">
        <v>145</v>
      </c>
      <c r="C352" s="127">
        <f t="shared" si="14"/>
        <v>3.0953652106583522</v>
      </c>
      <c r="D352" s="91">
        <f t="shared" si="15"/>
        <v>0.5</v>
      </c>
      <c r="E352" s="91">
        <f t="shared" si="16"/>
        <v>15.743818166068419</v>
      </c>
      <c r="F352" s="91">
        <f t="shared" si="17"/>
        <v>15.781969753892181</v>
      </c>
      <c r="G352" s="91">
        <f t="shared" si="18"/>
        <v>61.326449041015593</v>
      </c>
      <c r="H352" s="91">
        <f t="shared" si="19"/>
        <v>915.79329204561418</v>
      </c>
      <c r="I352" s="125">
        <v>2</v>
      </c>
    </row>
    <row r="353" spans="2:9" x14ac:dyDescent="0.25">
      <c r="B353" s="70">
        <v>146</v>
      </c>
      <c r="C353" s="127">
        <f t="shared" si="14"/>
        <v>3.0564456406426856</v>
      </c>
      <c r="D353" s="91">
        <f t="shared" si="15"/>
        <v>0.5</v>
      </c>
      <c r="E353" s="91">
        <f t="shared" si="16"/>
        <v>15.666477205886594</v>
      </c>
      <c r="F353" s="91">
        <f t="shared" si="17"/>
        <v>15.524807539021438</v>
      </c>
      <c r="G353" s="91">
        <f t="shared" si="18"/>
        <v>60.255400580945803</v>
      </c>
      <c r="H353" s="91">
        <f t="shared" si="19"/>
        <v>891.15492277469548</v>
      </c>
      <c r="I353" s="125">
        <v>2</v>
      </c>
    </row>
    <row r="354" spans="2:9" x14ac:dyDescent="0.25">
      <c r="B354" s="70">
        <v>147</v>
      </c>
      <c r="C354" s="127">
        <f t="shared" si="14"/>
        <v>3.0165748762709468</v>
      </c>
      <c r="D354" s="91">
        <f t="shared" si="15"/>
        <v>0.5</v>
      </c>
      <c r="E354" s="91">
        <f t="shared" si="16"/>
        <v>15.592426055565443</v>
      </c>
      <c r="F354" s="91">
        <f t="shared" si="17"/>
        <v>15.26891661354599</v>
      </c>
      <c r="G354" s="91">
        <f t="shared" si="18"/>
        <v>59.189387896169478</v>
      </c>
      <c r="H354" s="91">
        <f t="shared" si="19"/>
        <v>867.76124724660713</v>
      </c>
      <c r="I354" s="125">
        <v>2</v>
      </c>
    </row>
    <row r="355" spans="2:9" x14ac:dyDescent="0.25">
      <c r="B355" s="70">
        <v>148</v>
      </c>
      <c r="C355" s="127">
        <f t="shared" si="14"/>
        <v>2.9757402219686231</v>
      </c>
      <c r="D355" s="91">
        <f t="shared" si="15"/>
        <v>0.5</v>
      </c>
      <c r="E355" s="91">
        <f t="shared" si="16"/>
        <v>15.521727367736624</v>
      </c>
      <c r="F355" s="91">
        <f t="shared" si="17"/>
        <v>15.014336405910591</v>
      </c>
      <c r="G355" s="91">
        <f t="shared" si="18"/>
        <v>58.12858742562031</v>
      </c>
      <c r="H355" s="91">
        <f t="shared" si="19"/>
        <v>845.61436218721519</v>
      </c>
      <c r="I355" s="125">
        <v>2</v>
      </c>
    </row>
    <row r="356" spans="2:9" x14ac:dyDescent="0.25">
      <c r="B356" s="70">
        <v>149</v>
      </c>
      <c r="C356" s="127">
        <f t="shared" si="14"/>
        <v>2.9339289821612029</v>
      </c>
      <c r="D356" s="91">
        <f t="shared" si="15"/>
        <v>0.5</v>
      </c>
      <c r="E356" s="91">
        <f t="shared" si="16"/>
        <v>15.454443795031786</v>
      </c>
      <c r="F356" s="91">
        <f t="shared" si="17"/>
        <v>14.761106344559987</v>
      </c>
      <c r="G356" s="91">
        <f t="shared" si="18"/>
        <v>57.073175608231949</v>
      </c>
      <c r="H356" s="91">
        <f t="shared" si="19"/>
        <v>824.71636432239302</v>
      </c>
      <c r="I356" s="125">
        <v>2</v>
      </c>
    </row>
    <row r="357" spans="2:9" x14ac:dyDescent="0.25">
      <c r="B357" s="70">
        <v>150</v>
      </c>
      <c r="C357" s="127">
        <f t="shared" si="14"/>
        <v>2.8911284612741741</v>
      </c>
      <c r="D357" s="91">
        <f t="shared" si="15"/>
        <v>0.5</v>
      </c>
      <c r="E357" s="91">
        <f t="shared" si="16"/>
        <v>15.390637990082578</v>
      </c>
      <c r="F357" s="91">
        <f t="shared" si="17"/>
        <v>14.509265857938932</v>
      </c>
      <c r="G357" s="91">
        <f t="shared" si="18"/>
        <v>56.023328882938074</v>
      </c>
      <c r="H357" s="91">
        <f t="shared" si="19"/>
        <v>805.06935037801213</v>
      </c>
      <c r="I357" s="125">
        <v>2</v>
      </c>
    </row>
    <row r="358" spans="2:9" x14ac:dyDescent="0.25">
      <c r="B358" s="70">
        <v>151</v>
      </c>
      <c r="C358" s="127">
        <f t="shared" si="14"/>
        <v>2.8473259637330242</v>
      </c>
      <c r="D358" s="91">
        <f t="shared" si="15"/>
        <v>0.5</v>
      </c>
      <c r="E358" s="91">
        <f t="shared" si="16"/>
        <v>15.330372605520656</v>
      </c>
      <c r="F358" s="91">
        <f t="shared" si="17"/>
        <v>14.258854374492188</v>
      </c>
      <c r="G358" s="91">
        <f t="shared" si="18"/>
        <v>54.979223688672377</v>
      </c>
      <c r="H358" s="91">
        <f t="shared" si="19"/>
        <v>786.67541707994224</v>
      </c>
      <c r="I358" s="125">
        <v>2</v>
      </c>
    </row>
    <row r="359" spans="2:9" x14ac:dyDescent="0.25">
      <c r="B359" s="70">
        <v>152</v>
      </c>
      <c r="C359" s="127">
        <f t="shared" si="14"/>
        <v>2.8025087939632414</v>
      </c>
      <c r="D359" s="91">
        <f t="shared" si="15"/>
        <v>0.5</v>
      </c>
      <c r="E359" s="91">
        <f t="shared" si="16"/>
        <v>15.273710293977672</v>
      </c>
      <c r="F359" s="91">
        <f t="shared" si="17"/>
        <v>14.00991132266449</v>
      </c>
      <c r="G359" s="91">
        <f t="shared" si="18"/>
        <v>53.941036464368509</v>
      </c>
      <c r="H359" s="91">
        <f t="shared" si="19"/>
        <v>769.53666115405667</v>
      </c>
      <c r="I359" s="125">
        <v>2</v>
      </c>
    </row>
    <row r="360" spans="2:9" x14ac:dyDescent="0.25">
      <c r="B360" s="70">
        <v>153</v>
      </c>
      <c r="C360" s="127">
        <f t="shared" si="14"/>
        <v>2.7566642563903132</v>
      </c>
      <c r="D360" s="91">
        <f t="shared" si="15"/>
        <v>0.5</v>
      </c>
      <c r="E360" s="91">
        <f t="shared" si="16"/>
        <v>15.220713708085279</v>
      </c>
      <c r="F360" s="91">
        <f t="shared" si="17"/>
        <v>13.762476130900598</v>
      </c>
      <c r="G360" s="91">
        <f t="shared" si="18"/>
        <v>52.908943648960161</v>
      </c>
      <c r="H360" s="91">
        <f t="shared" si="19"/>
        <v>753.65517932622788</v>
      </c>
      <c r="I360" s="125">
        <v>2</v>
      </c>
    </row>
    <row r="361" spans="2:9" x14ac:dyDescent="0.25">
      <c r="B361" s="70">
        <v>154</v>
      </c>
      <c r="C361" s="127">
        <f t="shared" si="14"/>
        <v>2.7097796554397275</v>
      </c>
      <c r="D361" s="91">
        <f t="shared" si="15"/>
        <v>0.5</v>
      </c>
      <c r="E361" s="91">
        <f t="shared" si="16"/>
        <v>15.171445500475127</v>
      </c>
      <c r="F361" s="91">
        <f t="shared" si="17"/>
        <v>13.516588227645272</v>
      </c>
      <c r="G361" s="91">
        <f t="shared" si="18"/>
        <v>51.88312168138097</v>
      </c>
      <c r="H361" s="91">
        <f t="shared" si="19"/>
        <v>739.03306832232647</v>
      </c>
      <c r="I361" s="125">
        <v>2</v>
      </c>
    </row>
    <row r="362" spans="2:9" x14ac:dyDescent="0.25">
      <c r="B362" s="70">
        <v>155</v>
      </c>
      <c r="C362" s="127">
        <f t="shared" si="14"/>
        <v>2.6618422955369727</v>
      </c>
      <c r="D362" s="91">
        <f t="shared" si="15"/>
        <v>0.5</v>
      </c>
      <c r="E362" s="91">
        <f t="shared" si="16"/>
        <v>15.125968323778871</v>
      </c>
      <c r="F362" s="91">
        <f t="shared" si="17"/>
        <v>13.272287041343255</v>
      </c>
      <c r="G362" s="91">
        <f t="shared" si="18"/>
        <v>50.863747000564643</v>
      </c>
      <c r="H362" s="91">
        <f t="shared" si="19"/>
        <v>725.67242486822306</v>
      </c>
      <c r="I362" s="125">
        <v>2</v>
      </c>
    </row>
    <row r="363" spans="2:9" x14ac:dyDescent="0.25">
      <c r="B363" s="129">
        <v>156</v>
      </c>
      <c r="C363" s="127">
        <f t="shared" si="14"/>
        <v>2.6128394811075362</v>
      </c>
      <c r="D363" s="91">
        <f t="shared" si="15"/>
        <v>0.5</v>
      </c>
      <c r="E363" s="91">
        <f t="shared" si="16"/>
        <v>15.08434483062816</v>
      </c>
      <c r="F363" s="91">
        <f t="shared" si="17"/>
        <v>13.029612000439297</v>
      </c>
      <c r="G363" s="91">
        <f t="shared" si="18"/>
        <v>49.850996045444859</v>
      </c>
      <c r="H363" s="91">
        <f t="shared" si="19"/>
        <v>713.57534568978826</v>
      </c>
      <c r="I363" s="125">
        <v>2</v>
      </c>
    </row>
    <row r="364" spans="2:9" x14ac:dyDescent="0.25">
      <c r="B364" s="70">
        <v>157</v>
      </c>
      <c r="C364" s="122">
        <f>($D$132*($B364-$D$116)^3)+($E$132*($B364-$D$116)^2)+($F$132*($B364-$D$116))+($G$132)</f>
        <v>2.5355727870330922</v>
      </c>
      <c r="D364" s="91">
        <f>($D$133*($B364-$D$116)^3)+($E$133*($B364-$D$116)^2)+($F$133*($B364-$D$116))+($G$133)</f>
        <v>0.5</v>
      </c>
      <c r="E364" s="91">
        <f>($D$134*($B364-$D$116)^3)+($E$134*($B364-$D$116)^2)+($F$134*($B364-$D$116))+($G$134)</f>
        <v>15.244342648674712</v>
      </c>
      <c r="F364" s="91">
        <f>($D$135*($B364-$D$116)^3)+($E$135*($B364-$D$116)^2)+($F$135*($B364-$D$116))+($G$135)</f>
        <v>12.78843580917099</v>
      </c>
      <c r="G364" s="91">
        <f>($D$136*($B364-$D$116)^3)+($E$136*($B364-$D$116)^2)+($F$136*($B364-$D$116))+($G$136)</f>
        <v>48.90600339832546</v>
      </c>
      <c r="H364" s="91">
        <f>($D$137*($B364-$D$116)^3)+($E$137*($B364-$D$116)^2)+($F$137*($B364-$D$116))+($G$137)</f>
        <v>701.98328860354707</v>
      </c>
      <c r="I364" s="125">
        <v>3</v>
      </c>
    </row>
    <row r="365" spans="2:9" x14ac:dyDescent="0.25">
      <c r="B365" s="70">
        <v>158</v>
      </c>
      <c r="C365" s="122">
        <f t="shared" ref="C365:C375" si="20">($D$132*($B365-$D$116)^3)+($E$132*($B365-$D$116)^2)+($F$132*($B365-$D$116))+($G$132)</f>
        <v>2.5355727870330922</v>
      </c>
      <c r="D365" s="91">
        <f t="shared" ref="D365:D375" si="21">($D$133*($B365-$D$116)^3)+($E$133*($B365-$D$116)^2)+($F$133*($B365-$D$116))+($G$133)</f>
        <v>0.5</v>
      </c>
      <c r="E365" s="91">
        <f t="shared" ref="E365:E375" si="22">($D$134*($B365-$D$116)^3)+($E$134*($B365-$D$116)^2)+($F$134*($B365-$D$116))+($G$134)</f>
        <v>15.245582632460149</v>
      </c>
      <c r="F365" s="91">
        <f t="shared" ref="F365:F375" si="23">($D$135*($B365-$D$116)^3)+($E$135*($B365-$D$116)^2)+($F$135*($B365-$D$116))+($G$135)</f>
        <v>12.791999520401397</v>
      </c>
      <c r="G365" s="91">
        <f t="shared" ref="G365:G375" si="24">($D$136*($B365-$D$116)^3)+($E$136*($B365-$D$116)^2)+($F$136*($B365-$D$116))+($G$136)</f>
        <v>48.912711178698579</v>
      </c>
      <c r="H365" s="91">
        <f t="shared" ref="H365:H375" si="25">($D$137*($B365-$D$116)^3)+($E$137*($B365-$D$116)^2)+($F$137*($B365-$D$116))+($G$137)</f>
        <v>702.07841455600737</v>
      </c>
      <c r="I365" s="125">
        <v>3</v>
      </c>
    </row>
    <row r="366" spans="2:9" x14ac:dyDescent="0.25">
      <c r="B366" s="70">
        <v>159</v>
      </c>
      <c r="C366" s="122">
        <f t="shared" si="20"/>
        <v>2.5355727870330922</v>
      </c>
      <c r="D366" s="91">
        <f t="shared" si="21"/>
        <v>0.5</v>
      </c>
      <c r="E366" s="91">
        <f t="shared" si="22"/>
        <v>15.206527294201651</v>
      </c>
      <c r="F366" s="91">
        <f t="shared" si="23"/>
        <v>12.760434507620841</v>
      </c>
      <c r="G366" s="91">
        <f t="shared" si="24"/>
        <v>48.782118513041404</v>
      </c>
      <c r="H366" s="91">
        <f t="shared" si="25"/>
        <v>696.64134237274709</v>
      </c>
      <c r="I366" s="125">
        <v>3</v>
      </c>
    </row>
    <row r="367" spans="2:9" x14ac:dyDescent="0.25">
      <c r="B367" s="70">
        <v>160</v>
      </c>
      <c r="C367" s="122">
        <f t="shared" si="20"/>
        <v>2.5355727870330922</v>
      </c>
      <c r="D367" s="91">
        <f t="shared" si="21"/>
        <v>0.5</v>
      </c>
      <c r="E367" s="91">
        <f t="shared" si="22"/>
        <v>15.134787333545868</v>
      </c>
      <c r="F367" s="91">
        <f t="shared" si="23"/>
        <v>12.700163445570094</v>
      </c>
      <c r="G367" s="91">
        <f t="shared" si="24"/>
        <v>48.539945559009027</v>
      </c>
      <c r="H367" s="91">
        <f t="shared" si="25"/>
        <v>686.75188756290402</v>
      </c>
      <c r="I367" s="125">
        <v>3</v>
      </c>
    </row>
    <row r="368" spans="2:9" x14ac:dyDescent="0.25">
      <c r="B368" s="70">
        <v>161</v>
      </c>
      <c r="C368" s="122">
        <f t="shared" si="20"/>
        <v>2.5355727870330922</v>
      </c>
      <c r="D368" s="91">
        <f t="shared" si="21"/>
        <v>0.5</v>
      </c>
      <c r="E368" s="91">
        <f t="shared" si="22"/>
        <v>15.037973450139441</v>
      </c>
      <c r="F368" s="91">
        <f t="shared" si="23"/>
        <v>12.61760900898993</v>
      </c>
      <c r="G368" s="91">
        <f t="shared" si="24"/>
        <v>48.211912474256536</v>
      </c>
      <c r="H368" s="91">
        <f t="shared" si="25"/>
        <v>673.48986563561516</v>
      </c>
      <c r="I368" s="125">
        <v>3</v>
      </c>
    </row>
    <row r="369" spans="2:9" x14ac:dyDescent="0.25">
      <c r="B369" s="70">
        <v>162</v>
      </c>
      <c r="C369" s="122">
        <f t="shared" si="20"/>
        <v>2.5355727870330922</v>
      </c>
      <c r="D369" s="91">
        <f t="shared" si="21"/>
        <v>0.5</v>
      </c>
      <c r="E369" s="91">
        <f t="shared" si="22"/>
        <v>14.923696343629018</v>
      </c>
      <c r="F369" s="91">
        <f t="shared" si="23"/>
        <v>12.51919387262112</v>
      </c>
      <c r="G369" s="91">
        <f t="shared" si="24"/>
        <v>47.823739416439018</v>
      </c>
      <c r="H369" s="91">
        <f t="shared" si="25"/>
        <v>657.93509210001832</v>
      </c>
      <c r="I369" s="125">
        <v>3</v>
      </c>
    </row>
    <row r="370" spans="2:9" x14ac:dyDescent="0.25">
      <c r="B370" s="70">
        <v>163</v>
      </c>
      <c r="C370" s="122">
        <f t="shared" si="20"/>
        <v>2.5355727870330922</v>
      </c>
      <c r="D370" s="91">
        <f t="shared" si="21"/>
        <v>0.5</v>
      </c>
      <c r="E370" s="91">
        <f t="shared" si="22"/>
        <v>14.799566713661246</v>
      </c>
      <c r="F370" s="91">
        <f t="shared" si="23"/>
        <v>12.411340711204437</v>
      </c>
      <c r="G370" s="91">
        <f t="shared" si="24"/>
        <v>47.40114654321156</v>
      </c>
      <c r="H370" s="91">
        <f t="shared" si="25"/>
        <v>641.16738246525074</v>
      </c>
      <c r="I370" s="125">
        <v>3</v>
      </c>
    </row>
    <row r="371" spans="2:9" x14ac:dyDescent="0.25">
      <c r="B371" s="70">
        <v>164</v>
      </c>
      <c r="C371" s="122">
        <f t="shared" si="20"/>
        <v>2.5355727870330922</v>
      </c>
      <c r="D371" s="91">
        <f t="shared" si="21"/>
        <v>0.5</v>
      </c>
      <c r="E371" s="91">
        <f t="shared" si="22"/>
        <v>14.673195259882769</v>
      </c>
      <c r="F371" s="91">
        <f t="shared" si="23"/>
        <v>12.300472199480652</v>
      </c>
      <c r="G371" s="91">
        <f t="shared" si="24"/>
        <v>46.969854012229263</v>
      </c>
      <c r="H371" s="91">
        <f t="shared" si="25"/>
        <v>624.26655224044976</v>
      </c>
      <c r="I371" s="125">
        <v>3</v>
      </c>
    </row>
    <row r="372" spans="2:9" x14ac:dyDescent="0.25">
      <c r="B372" s="70">
        <v>165</v>
      </c>
      <c r="C372" s="122">
        <f t="shared" si="20"/>
        <v>2.5355727870330922</v>
      </c>
      <c r="D372" s="91">
        <f t="shared" si="21"/>
        <v>0.5</v>
      </c>
      <c r="E372" s="91">
        <f t="shared" si="22"/>
        <v>14.552192681940234</v>
      </c>
      <c r="F372" s="91">
        <f t="shared" si="23"/>
        <v>12.193011012190539</v>
      </c>
      <c r="G372" s="91">
        <f t="shared" si="24"/>
        <v>46.555581981147206</v>
      </c>
      <c r="H372" s="91">
        <f t="shared" si="25"/>
        <v>608.31241693475295</v>
      </c>
      <c r="I372" s="125">
        <v>3</v>
      </c>
    </row>
    <row r="373" spans="2:9" x14ac:dyDescent="0.25">
      <c r="B373" s="70">
        <v>166</v>
      </c>
      <c r="C373" s="122">
        <f t="shared" si="20"/>
        <v>2.5355727870330922</v>
      </c>
      <c r="D373" s="91">
        <f t="shared" si="21"/>
        <v>0.5</v>
      </c>
      <c r="E373" s="91">
        <f t="shared" si="22"/>
        <v>14.444169679480286</v>
      </c>
      <c r="F373" s="91">
        <f t="shared" si="23"/>
        <v>12.09537982407487</v>
      </c>
      <c r="G373" s="91">
        <f t="shared" si="24"/>
        <v>46.184050607620485</v>
      </c>
      <c r="H373" s="91">
        <f t="shared" si="25"/>
        <v>594.38479205729777</v>
      </c>
      <c r="I373" s="125">
        <v>3</v>
      </c>
    </row>
    <row r="374" spans="2:9" x14ac:dyDescent="0.25">
      <c r="B374" s="70">
        <v>167</v>
      </c>
      <c r="C374" s="122">
        <f t="shared" si="20"/>
        <v>2.5355727870330922</v>
      </c>
      <c r="D374" s="91">
        <f t="shared" si="21"/>
        <v>0.5</v>
      </c>
      <c r="E374" s="91">
        <f t="shared" si="22"/>
        <v>14.35673695214957</v>
      </c>
      <c r="F374" s="91">
        <f t="shared" si="23"/>
        <v>12.014001309874418</v>
      </c>
      <c r="G374" s="91">
        <f t="shared" si="24"/>
        <v>45.880980049304185</v>
      </c>
      <c r="H374" s="91">
        <f t="shared" si="25"/>
        <v>583.56349311722147</v>
      </c>
      <c r="I374" s="125">
        <v>3</v>
      </c>
    </row>
    <row r="375" spans="2:9" x14ac:dyDescent="0.25">
      <c r="B375" s="129">
        <v>168</v>
      </c>
      <c r="C375" s="122">
        <f t="shared" si="20"/>
        <v>2.5355727870330922</v>
      </c>
      <c r="D375" s="91">
        <f t="shared" si="21"/>
        <v>0.5</v>
      </c>
      <c r="E375" s="91">
        <f t="shared" si="22"/>
        <v>14.297505199594733</v>
      </c>
      <c r="F375" s="91">
        <f t="shared" si="23"/>
        <v>11.955298144329953</v>
      </c>
      <c r="G375" s="91">
        <f t="shared" si="24"/>
        <v>45.672090463853394</v>
      </c>
      <c r="H375" s="91">
        <f t="shared" si="25"/>
        <v>576.92833562366161</v>
      </c>
      <c r="I375" s="125">
        <v>3</v>
      </c>
    </row>
    <row r="376" spans="2:9" x14ac:dyDescent="0.25">
      <c r="B376" s="70">
        <v>169</v>
      </c>
      <c r="C376" s="122">
        <f>($D$162*($B376-$D$146)^3)+($E$162*($B376-$D$146)^2)+($F$162*($B376-$D$146))+($G$162)</f>
        <v>2.5355890944048327</v>
      </c>
      <c r="D376" s="91">
        <f>($D$163*($B376-$D$146)^3)+($E$163*($B376-$D$146)^2)+($F$163*($B376-$D$146))+($G$163)</f>
        <v>0.5</v>
      </c>
      <c r="E376" s="91">
        <f>($D$164*($B376-$D$146)^3)+($E$164*($B376-$D$146)^2)+($F$164*($B376-$D$146))+($G$164)</f>
        <v>14.166413151228918</v>
      </c>
      <c r="F376" s="91">
        <f>($D$165*($B376-$D$146)^3)+($E$165*($B376-$D$146)^2)+($F$165*($B376-$D$146))+($G$165)</f>
        <v>11.835224789686523</v>
      </c>
      <c r="G376" s="91">
        <f>($D$166*($B376-$D$146)^3)+($E$166*($B376-$D$146)^2)+($F$166*($B376-$D$146))+($G$166)</f>
        <v>45.219737326703516</v>
      </c>
      <c r="H376" s="91">
        <f>($D$167*($B376-$D$146)^3)+($E$167*($B376-$D$146)^2)+($F$167*($B376-$D$146))+($G$167)</f>
        <v>560.30430557796444</v>
      </c>
      <c r="I376" s="125">
        <v>4</v>
      </c>
    </row>
    <row r="377" spans="2:9" x14ac:dyDescent="0.25">
      <c r="B377" s="70">
        <v>170</v>
      </c>
      <c r="C377" s="122">
        <f t="shared" ref="C377:C405" si="26">($D$162*($B377-$D$146)^3)+($E$162*($B377-$D$146)^2)+($F$162*($B377-$D$146))+($G$162)</f>
        <v>2.5355172421671406</v>
      </c>
      <c r="D377" s="91">
        <f t="shared" ref="D377:D405" si="27">($D$163*($B377-$D$146)^3)+($E$163*($B377-$D$146)^2)+($F$163*($B377-$D$146))+($G$163)</f>
        <v>0.5</v>
      </c>
      <c r="E377" s="91">
        <f t="shared" ref="E377:E405" si="28">($D$164*($B377-$D$146)^3)+($E$164*($B377-$D$146)^2)+($F$164*($B377-$D$146))+($G$164)</f>
        <v>14.055944909522816</v>
      </c>
      <c r="F377" s="91">
        <f t="shared" ref="F377:F405" si="29">($D$165*($B377-$D$146)^3)+($E$165*($B377-$D$146)^2)+($F$165*($B377-$D$146))+($G$165)</f>
        <v>11.749012824758049</v>
      </c>
      <c r="G377" s="91">
        <f t="shared" ref="G377:G405" si="30">($D$166*($B377-$D$146)^3)+($E$166*($B377-$D$146)^2)+($F$166*($B377-$D$146))+($G$166)</f>
        <v>44.852828319943718</v>
      </c>
      <c r="H377" s="91">
        <f t="shared" ref="H377:H405" si="31">($D$167*($B377-$D$146)^3)+($E$167*($B377-$D$146)^2)+($F$167*($B377-$D$146))+($G$167)</f>
        <v>547.11510749413731</v>
      </c>
      <c r="I377" s="125">
        <v>4</v>
      </c>
    </row>
    <row r="378" spans="2:9" x14ac:dyDescent="0.25">
      <c r="B378" s="70">
        <v>171</v>
      </c>
      <c r="C378" s="122">
        <f t="shared" si="26"/>
        <v>2.5354705326497129</v>
      </c>
      <c r="D378" s="91">
        <f t="shared" si="27"/>
        <v>0.5</v>
      </c>
      <c r="E378" s="91">
        <f t="shared" si="28"/>
        <v>13.944948055808281</v>
      </c>
      <c r="F378" s="91">
        <f t="shared" si="29"/>
        <v>11.661384045852149</v>
      </c>
      <c r="G378" s="91">
        <f t="shared" si="30"/>
        <v>44.48337756513714</v>
      </c>
      <c r="H378" s="91">
        <f t="shared" si="31"/>
        <v>534.04581194462514</v>
      </c>
      <c r="I378" s="125">
        <v>4</v>
      </c>
    </row>
    <row r="379" spans="2:9" x14ac:dyDescent="0.25">
      <c r="B379" s="70">
        <v>172</v>
      </c>
      <c r="C379" s="122">
        <f t="shared" si="26"/>
        <v>2.5354455662825881</v>
      </c>
      <c r="D379" s="91">
        <f t="shared" si="27"/>
        <v>0.5</v>
      </c>
      <c r="E379" s="91">
        <f t="shared" si="28"/>
        <v>13.833372444005882</v>
      </c>
      <c r="F379" s="91">
        <f t="shared" si="29"/>
        <v>11.572333506554672</v>
      </c>
      <c r="G379" s="91">
        <f t="shared" si="30"/>
        <v>44.111222454421103</v>
      </c>
      <c r="H379" s="91">
        <f t="shared" si="31"/>
        <v>521.09642167276832</v>
      </c>
      <c r="I379" s="125">
        <v>4</v>
      </c>
    </row>
    <row r="380" spans="2:9" x14ac:dyDescent="0.25">
      <c r="B380" s="70">
        <v>173</v>
      </c>
      <c r="C380" s="122">
        <f t="shared" si="26"/>
        <v>2.535438943495806</v>
      </c>
      <c r="D380" s="91">
        <f t="shared" si="27"/>
        <v>0.5</v>
      </c>
      <c r="E380" s="91">
        <f t="shared" si="28"/>
        <v>13.721167928036191</v>
      </c>
      <c r="F380" s="91">
        <f t="shared" si="29"/>
        <v>11.481856260451474</v>
      </c>
      <c r="G380" s="91">
        <f t="shared" si="30"/>
        <v>43.736200379932939</v>
      </c>
      <c r="H380" s="91">
        <f t="shared" si="31"/>
        <v>508.26693942190678</v>
      </c>
      <c r="I380" s="125">
        <v>4</v>
      </c>
    </row>
    <row r="381" spans="2:9" x14ac:dyDescent="0.25">
      <c r="B381" s="70">
        <v>174</v>
      </c>
      <c r="C381" s="122">
        <f t="shared" si="26"/>
        <v>2.535447264719406</v>
      </c>
      <c r="D381" s="91">
        <f t="shared" si="27"/>
        <v>0.5</v>
      </c>
      <c r="E381" s="91">
        <f t="shared" si="28"/>
        <v>13.608284361819782</v>
      </c>
      <c r="F381" s="91">
        <f t="shared" si="29"/>
        <v>11.389947361128405</v>
      </c>
      <c r="G381" s="91">
        <f t="shared" si="30"/>
        <v>43.358148733809969</v>
      </c>
      <c r="H381" s="91">
        <f t="shared" si="31"/>
        <v>495.55736793538085</v>
      </c>
      <c r="I381" s="125">
        <v>4</v>
      </c>
    </row>
    <row r="382" spans="2:9" x14ac:dyDescent="0.25">
      <c r="B382" s="70">
        <v>175</v>
      </c>
      <c r="C382" s="122">
        <f t="shared" si="26"/>
        <v>2.5354671303834277</v>
      </c>
      <c r="D382" s="91">
        <f t="shared" si="27"/>
        <v>0.5</v>
      </c>
      <c r="E382" s="91">
        <f t="shared" si="28"/>
        <v>13.494671599277227</v>
      </c>
      <c r="F382" s="91">
        <f t="shared" si="29"/>
        <v>11.296601862171316</v>
      </c>
      <c r="G382" s="91">
        <f t="shared" si="30"/>
        <v>42.976904908189503</v>
      </c>
      <c r="H382" s="91">
        <f t="shared" si="31"/>
        <v>482.9677099565306</v>
      </c>
      <c r="I382" s="125">
        <v>4</v>
      </c>
    </row>
    <row r="383" spans="2:9" x14ac:dyDescent="0.25">
      <c r="B383" s="70">
        <v>176</v>
      </c>
      <c r="C383" s="122">
        <f t="shared" si="26"/>
        <v>2.5354951409179103</v>
      </c>
      <c r="D383" s="91">
        <f t="shared" si="27"/>
        <v>0.5</v>
      </c>
      <c r="E383" s="91">
        <f t="shared" si="28"/>
        <v>13.380279494329095</v>
      </c>
      <c r="F383" s="91">
        <f t="shared" si="29"/>
        <v>11.201814817166062</v>
      </c>
      <c r="G383" s="91">
        <f t="shared" si="30"/>
        <v>42.592306295208878</v>
      </c>
      <c r="H383" s="91">
        <f t="shared" si="31"/>
        <v>470.49796822869627</v>
      </c>
      <c r="I383" s="125">
        <v>4</v>
      </c>
    </row>
    <row r="384" spans="2:9" x14ac:dyDescent="0.25">
      <c r="B384" s="70">
        <v>177</v>
      </c>
      <c r="C384" s="122">
        <f t="shared" si="26"/>
        <v>2.5355278967528929</v>
      </c>
      <c r="D384" s="91">
        <f t="shared" si="27"/>
        <v>0.5</v>
      </c>
      <c r="E384" s="91">
        <f t="shared" si="28"/>
        <v>13.265057900895959</v>
      </c>
      <c r="F384" s="91">
        <f t="shared" si="29"/>
        <v>11.105581279698493</v>
      </c>
      <c r="G384" s="91">
        <f t="shared" si="30"/>
        <v>42.20419028700541</v>
      </c>
      <c r="H384" s="91">
        <f t="shared" si="31"/>
        <v>458.14814549521793</v>
      </c>
      <c r="I384" s="125">
        <v>4</v>
      </c>
    </row>
    <row r="385" spans="2:9" x14ac:dyDescent="0.25">
      <c r="B385" s="70">
        <v>178</v>
      </c>
      <c r="C385" s="122">
        <f t="shared" si="26"/>
        <v>2.5355619983184159</v>
      </c>
      <c r="D385" s="91">
        <f t="shared" si="27"/>
        <v>0.5</v>
      </c>
      <c r="E385" s="91">
        <f t="shared" si="28"/>
        <v>13.148956672898393</v>
      </c>
      <c r="F385" s="91">
        <f t="shared" si="29"/>
        <v>11.007896303354462</v>
      </c>
      <c r="G385" s="91">
        <f t="shared" si="30"/>
        <v>41.812394275716414</v>
      </c>
      <c r="H385" s="91">
        <f t="shared" si="31"/>
        <v>445.9182444994359</v>
      </c>
      <c r="I385" s="125">
        <v>4</v>
      </c>
    </row>
    <row r="386" spans="2:9" x14ac:dyDescent="0.25">
      <c r="B386" s="70">
        <v>179</v>
      </c>
      <c r="C386" s="122">
        <f t="shared" si="26"/>
        <v>2.5355940460445177</v>
      </c>
      <c r="D386" s="91">
        <f t="shared" si="27"/>
        <v>0.5</v>
      </c>
      <c r="E386" s="91">
        <f t="shared" si="28"/>
        <v>13.031925664256967</v>
      </c>
      <c r="F386" s="91">
        <f t="shared" si="29"/>
        <v>10.90875494171982</v>
      </c>
      <c r="G386" s="91">
        <f t="shared" si="30"/>
        <v>41.416755653479228</v>
      </c>
      <c r="H386" s="91">
        <f t="shared" si="31"/>
        <v>433.80826798469019</v>
      </c>
      <c r="I386" s="125">
        <v>4</v>
      </c>
    </row>
    <row r="387" spans="2:9" x14ac:dyDescent="0.25">
      <c r="B387" s="129">
        <v>180</v>
      </c>
      <c r="C387" s="122">
        <f t="shared" si="26"/>
        <v>2.535620640361238</v>
      </c>
      <c r="D387" s="91">
        <f t="shared" si="27"/>
        <v>0.5</v>
      </c>
      <c r="E387" s="91">
        <f t="shared" si="28"/>
        <v>12.913914728892252</v>
      </c>
      <c r="F387" s="91">
        <f t="shared" si="29"/>
        <v>10.808152248380422</v>
      </c>
      <c r="G387" s="91">
        <f t="shared" si="30"/>
        <v>41.017111812431168</v>
      </c>
      <c r="H387" s="91">
        <f t="shared" si="31"/>
        <v>421.8182186943211</v>
      </c>
      <c r="I387" s="125">
        <v>4</v>
      </c>
    </row>
    <row r="388" spans="2:9" x14ac:dyDescent="0.25">
      <c r="B388" s="70">
        <v>181</v>
      </c>
      <c r="C388" s="122">
        <f t="shared" si="26"/>
        <v>2.5356383816986168</v>
      </c>
      <c r="D388" s="91">
        <f t="shared" si="27"/>
        <v>0.5</v>
      </c>
      <c r="E388" s="91">
        <f t="shared" si="28"/>
        <v>12.794873720724823</v>
      </c>
      <c r="F388" s="91">
        <f t="shared" si="29"/>
        <v>10.706083276922115</v>
      </c>
      <c r="G388" s="91">
        <f t="shared" si="30"/>
        <v>40.613300144709548</v>
      </c>
      <c r="H388" s="91">
        <f t="shared" si="31"/>
        <v>409.94809937166872</v>
      </c>
      <c r="I388" s="125">
        <v>4</v>
      </c>
    </row>
    <row r="389" spans="2:9" x14ac:dyDescent="0.25">
      <c r="B389" s="70">
        <v>182</v>
      </c>
      <c r="C389" s="122">
        <f t="shared" si="26"/>
        <v>2.5356438704866928</v>
      </c>
      <c r="D389" s="91">
        <f t="shared" si="27"/>
        <v>0.5</v>
      </c>
      <c r="E389" s="91">
        <f t="shared" si="28"/>
        <v>12.674752493675248</v>
      </c>
      <c r="F389" s="91">
        <f t="shared" si="29"/>
        <v>10.602543080930756</v>
      </c>
      <c r="G389" s="91">
        <f t="shared" si="30"/>
        <v>40.2051580424517</v>
      </c>
      <c r="H389" s="91">
        <f t="shared" si="31"/>
        <v>398.19791276007322</v>
      </c>
      <c r="I389" s="125">
        <v>4</v>
      </c>
    </row>
    <row r="390" spans="2:9" x14ac:dyDescent="0.25">
      <c r="B390" s="70">
        <v>183</v>
      </c>
      <c r="C390" s="122">
        <f t="shared" si="26"/>
        <v>2.535633707155506</v>
      </c>
      <c r="D390" s="91">
        <f t="shared" si="27"/>
        <v>0.5</v>
      </c>
      <c r="E390" s="91">
        <f t="shared" si="28"/>
        <v>12.553500901664101</v>
      </c>
      <c r="F390" s="91">
        <f t="shared" si="29"/>
        <v>10.497526713992196</v>
      </c>
      <c r="G390" s="91">
        <f t="shared" si="30"/>
        <v>39.792522897794946</v>
      </c>
      <c r="H390" s="91">
        <f t="shared" si="31"/>
        <v>386.56766160287481</v>
      </c>
      <c r="I390" s="125">
        <v>4</v>
      </c>
    </row>
    <row r="391" spans="2:9" x14ac:dyDescent="0.25">
      <c r="B391" s="70">
        <v>184</v>
      </c>
      <c r="C391" s="122">
        <f t="shared" si="26"/>
        <v>2.5356044921350955</v>
      </c>
      <c r="D391" s="91">
        <f t="shared" si="27"/>
        <v>0.5</v>
      </c>
      <c r="E391" s="91">
        <f t="shared" si="28"/>
        <v>12.431068798611953</v>
      </c>
      <c r="F391" s="91">
        <f t="shared" si="29"/>
        <v>10.391029229692286</v>
      </c>
      <c r="G391" s="91">
        <f t="shared" si="30"/>
        <v>39.375232102876602</v>
      </c>
      <c r="H391" s="91">
        <f t="shared" si="31"/>
        <v>375.0573486434136</v>
      </c>
      <c r="I391" s="125">
        <v>4</v>
      </c>
    </row>
    <row r="392" spans="2:9" x14ac:dyDescent="0.25">
      <c r="B392" s="70">
        <v>185</v>
      </c>
      <c r="C392" s="122">
        <f t="shared" si="26"/>
        <v>2.5355528258555009</v>
      </c>
      <c r="D392" s="91">
        <f t="shared" si="27"/>
        <v>0.5</v>
      </c>
      <c r="E392" s="91">
        <f t="shared" si="28"/>
        <v>12.307406038439378</v>
      </c>
      <c r="F392" s="91">
        <f t="shared" si="29"/>
        <v>10.283045681616878</v>
      </c>
      <c r="G392" s="91">
        <f t="shared" si="30"/>
        <v>38.953123049833998</v>
      </c>
      <c r="H392" s="91">
        <f t="shared" si="31"/>
        <v>363.66697662502986</v>
      </c>
      <c r="I392" s="125">
        <v>4</v>
      </c>
    </row>
    <row r="393" spans="2:9" x14ac:dyDescent="0.25">
      <c r="B393" s="70">
        <v>186</v>
      </c>
      <c r="C393" s="122">
        <f t="shared" si="26"/>
        <v>2.5354753087467614</v>
      </c>
      <c r="D393" s="91">
        <f t="shared" si="27"/>
        <v>0.5</v>
      </c>
      <c r="E393" s="91">
        <f t="shared" si="28"/>
        <v>12.182462475066947</v>
      </c>
      <c r="F393" s="91">
        <f t="shared" si="29"/>
        <v>10.173571123351826</v>
      </c>
      <c r="G393" s="91">
        <f t="shared" si="30"/>
        <v>38.52603313080445</v>
      </c>
      <c r="H393" s="91">
        <f t="shared" si="31"/>
        <v>352.3965482910636</v>
      </c>
      <c r="I393" s="125">
        <v>4</v>
      </c>
    </row>
    <row r="394" spans="2:9" x14ac:dyDescent="0.25">
      <c r="B394" s="70">
        <v>187</v>
      </c>
      <c r="C394" s="122">
        <f t="shared" si="26"/>
        <v>2.5353685412389169</v>
      </c>
      <c r="D394" s="91">
        <f t="shared" si="27"/>
        <v>0.5</v>
      </c>
      <c r="E394" s="91">
        <f t="shared" si="28"/>
        <v>12.05618796241523</v>
      </c>
      <c r="F394" s="91">
        <f t="shared" si="29"/>
        <v>10.062600608482979</v>
      </c>
      <c r="G394" s="91">
        <f t="shared" si="30"/>
        <v>38.093799737925288</v>
      </c>
      <c r="H394" s="91">
        <f t="shared" si="31"/>
        <v>341.24606638485517</v>
      </c>
      <c r="I394" s="125">
        <v>4</v>
      </c>
    </row>
    <row r="395" spans="2:9" x14ac:dyDescent="0.25">
      <c r="B395" s="70">
        <v>188</v>
      </c>
      <c r="C395" s="122">
        <f t="shared" si="26"/>
        <v>2.5352291237620062</v>
      </c>
      <c r="D395" s="91">
        <f t="shared" si="27"/>
        <v>0.5</v>
      </c>
      <c r="E395" s="91">
        <f t="shared" si="28"/>
        <v>11.928532354404799</v>
      </c>
      <c r="F395" s="91">
        <f t="shared" si="29"/>
        <v>9.9501291905961917</v>
      </c>
      <c r="G395" s="91">
        <f t="shared" si="30"/>
        <v>37.656260263333827</v>
      </c>
      <c r="H395" s="91">
        <f t="shared" si="31"/>
        <v>330.21553364974466</v>
      </c>
      <c r="I395" s="125">
        <v>4</v>
      </c>
    </row>
    <row r="396" spans="2:9" x14ac:dyDescent="0.25">
      <c r="B396" s="70">
        <v>189</v>
      </c>
      <c r="C396" s="122">
        <f t="shared" si="26"/>
        <v>2.5350536567460691</v>
      </c>
      <c r="D396" s="91">
        <f t="shared" si="27"/>
        <v>0.5</v>
      </c>
      <c r="E396" s="91">
        <f t="shared" si="28"/>
        <v>11.799445504956228</v>
      </c>
      <c r="F396" s="91">
        <f t="shared" si="29"/>
        <v>9.8361519232773169</v>
      </c>
      <c r="G396" s="91">
        <f t="shared" si="30"/>
        <v>37.213252099167391</v>
      </c>
      <c r="H396" s="91">
        <f t="shared" si="31"/>
        <v>319.30495282907214</v>
      </c>
      <c r="I396" s="125">
        <v>4</v>
      </c>
    </row>
    <row r="397" spans="2:9" x14ac:dyDescent="0.25">
      <c r="B397" s="70">
        <v>190</v>
      </c>
      <c r="C397" s="122">
        <f t="shared" si="26"/>
        <v>2.5348387406211446</v>
      </c>
      <c r="D397" s="91">
        <f t="shared" si="27"/>
        <v>0.5</v>
      </c>
      <c r="E397" s="91">
        <f t="shared" si="28"/>
        <v>11.668877267990089</v>
      </c>
      <c r="F397" s="91">
        <f t="shared" si="29"/>
        <v>9.7206638601122037</v>
      </c>
      <c r="G397" s="91">
        <f t="shared" si="30"/>
        <v>36.764612637563303</v>
      </c>
      <c r="H397" s="91">
        <f t="shared" si="31"/>
        <v>308.51432666617796</v>
      </c>
      <c r="I397" s="125">
        <v>4</v>
      </c>
    </row>
    <row r="398" spans="2:9" x14ac:dyDescent="0.25">
      <c r="B398" s="70">
        <v>191</v>
      </c>
      <c r="C398" s="122">
        <f t="shared" si="26"/>
        <v>2.5345809758172728</v>
      </c>
      <c r="D398" s="91">
        <f t="shared" si="27"/>
        <v>0.5</v>
      </c>
      <c r="E398" s="91">
        <f t="shared" si="28"/>
        <v>11.536777497426952</v>
      </c>
      <c r="F398" s="91">
        <f t="shared" si="29"/>
        <v>9.6036600546867064</v>
      </c>
      <c r="G398" s="91">
        <f t="shared" si="30"/>
        <v>36.310179270658885</v>
      </c>
      <c r="H398" s="91">
        <f t="shared" si="31"/>
        <v>297.84365790440216</v>
      </c>
      <c r="I398" s="125">
        <v>4</v>
      </c>
    </row>
    <row r="399" spans="2:9" x14ac:dyDescent="0.25">
      <c r="B399" s="129">
        <v>192</v>
      </c>
      <c r="C399" s="122">
        <f t="shared" si="26"/>
        <v>2.5342769627644928</v>
      </c>
      <c r="D399" s="91">
        <f t="shared" si="27"/>
        <v>0.5</v>
      </c>
      <c r="E399" s="91">
        <f t="shared" si="28"/>
        <v>11.40309604718739</v>
      </c>
      <c r="F399" s="91">
        <f t="shared" si="29"/>
        <v>9.4851355605866754</v>
      </c>
      <c r="G399" s="91">
        <f t="shared" si="30"/>
        <v>35.849789390591461</v>
      </c>
      <c r="H399" s="91">
        <f t="shared" si="31"/>
        <v>287.29294928708498</v>
      </c>
      <c r="I399" s="125">
        <v>4</v>
      </c>
    </row>
    <row r="400" spans="2:9" x14ac:dyDescent="0.25">
      <c r="B400" s="70">
        <v>193</v>
      </c>
      <c r="C400" s="122">
        <f t="shared" si="26"/>
        <v>2.5339233018928442</v>
      </c>
      <c r="D400" s="91">
        <f t="shared" si="27"/>
        <v>0.5</v>
      </c>
      <c r="E400" s="91">
        <f t="shared" si="28"/>
        <v>11.267782771191975</v>
      </c>
      <c r="F400" s="91">
        <f t="shared" si="29"/>
        <v>9.365085431397965</v>
      </c>
      <c r="G400" s="91">
        <f t="shared" si="30"/>
        <v>35.383280389498353</v>
      </c>
      <c r="H400" s="91">
        <f t="shared" si="31"/>
        <v>276.86220355756654</v>
      </c>
      <c r="I400" s="125">
        <v>4</v>
      </c>
    </row>
    <row r="401" spans="2:9" x14ac:dyDescent="0.25">
      <c r="B401" s="70">
        <v>194</v>
      </c>
      <c r="C401" s="122">
        <f t="shared" si="26"/>
        <v>2.533516593632366</v>
      </c>
      <c r="D401" s="91">
        <f t="shared" si="27"/>
        <v>0.5</v>
      </c>
      <c r="E401" s="91">
        <f t="shared" si="28"/>
        <v>11.130787523361278</v>
      </c>
      <c r="F401" s="91">
        <f t="shared" si="29"/>
        <v>9.2435047207064258</v>
      </c>
      <c r="G401" s="91">
        <f t="shared" si="30"/>
        <v>34.910489659516884</v>
      </c>
      <c r="H401" s="91">
        <f t="shared" si="31"/>
        <v>266.55142345918705</v>
      </c>
      <c r="I401" s="125">
        <v>4</v>
      </c>
    </row>
    <row r="402" spans="2:9" x14ac:dyDescent="0.25">
      <c r="B402" s="70">
        <v>195</v>
      </c>
      <c r="C402" s="122">
        <f t="shared" si="26"/>
        <v>2.533053438413098</v>
      </c>
      <c r="D402" s="91">
        <f t="shared" si="27"/>
        <v>0.5</v>
      </c>
      <c r="E402" s="91">
        <f t="shared" si="28"/>
        <v>10.992060157615869</v>
      </c>
      <c r="F402" s="91">
        <f t="shared" si="29"/>
        <v>9.120388482097912</v>
      </c>
      <c r="G402" s="91">
        <f t="shared" si="30"/>
        <v>34.43125459278437</v>
      </c>
      <c r="H402" s="91">
        <f t="shared" si="31"/>
        <v>256.36061173528662</v>
      </c>
      <c r="I402" s="125">
        <v>4</v>
      </c>
    </row>
    <row r="403" spans="2:9" x14ac:dyDescent="0.25">
      <c r="B403" s="70">
        <v>196</v>
      </c>
      <c r="C403" s="122">
        <f t="shared" si="26"/>
        <v>2.5325304366650796</v>
      </c>
      <c r="D403" s="91">
        <f t="shared" si="27"/>
        <v>0.5</v>
      </c>
      <c r="E403" s="91">
        <f t="shared" si="28"/>
        <v>10.851550527876324</v>
      </c>
      <c r="F403" s="91">
        <f t="shared" si="29"/>
        <v>8.9957317691582723</v>
      </c>
      <c r="G403" s="91">
        <f t="shared" si="30"/>
        <v>33.945412581438141</v>
      </c>
      <c r="H403" s="91">
        <f t="shared" si="31"/>
        <v>246.28977112920546</v>
      </c>
      <c r="I403" s="125">
        <v>4</v>
      </c>
    </row>
    <row r="404" spans="2:9" x14ac:dyDescent="0.25">
      <c r="B404" s="70">
        <v>197</v>
      </c>
      <c r="C404" s="122">
        <f t="shared" si="26"/>
        <v>2.5319441888183505</v>
      </c>
      <c r="D404" s="91">
        <f t="shared" si="27"/>
        <v>0.5</v>
      </c>
      <c r="E404" s="91">
        <f t="shared" si="28"/>
        <v>10.709208488063215</v>
      </c>
      <c r="F404" s="91">
        <f t="shared" si="29"/>
        <v>8.8695296354733628</v>
      </c>
      <c r="G404" s="91">
        <f t="shared" si="30"/>
        <v>33.452801017615521</v>
      </c>
      <c r="H404" s="91">
        <f t="shared" si="31"/>
        <v>236.33890438428375</v>
      </c>
      <c r="I404" s="125">
        <v>4</v>
      </c>
    </row>
    <row r="405" spans="2:9" x14ac:dyDescent="0.25">
      <c r="B405" s="70">
        <v>198</v>
      </c>
      <c r="C405" s="122">
        <f t="shared" si="26"/>
        <v>2.5312912953029492</v>
      </c>
      <c r="D405" s="91">
        <f t="shared" si="27"/>
        <v>0.5</v>
      </c>
      <c r="E405" s="91">
        <f t="shared" si="28"/>
        <v>10.564983892097109</v>
      </c>
      <c r="F405" s="91">
        <f t="shared" si="29"/>
        <v>8.7417771346290323</v>
      </c>
      <c r="G405" s="91">
        <f t="shared" si="30"/>
        <v>32.953257293453824</v>
      </c>
      <c r="H405" s="91">
        <f t="shared" si="31"/>
        <v>226.50801424386157</v>
      </c>
      <c r="I405" s="125">
        <v>4</v>
      </c>
    </row>
    <row r="406" spans="2:9" x14ac:dyDescent="0.25">
      <c r="B406" s="70">
        <v>199</v>
      </c>
      <c r="C406" s="122">
        <f>($D$192*($B406-$D$176)^3)+($E$192*($B406-$D$176)^2)+($F$192*($B406-$D$176))+($G$192)</f>
        <v>2.5273680031377457</v>
      </c>
      <c r="D406" s="91">
        <f>($D$193*($B406-$D$176)^3)+($E$193*($B406-$D$176)^2)+($F$193*($B406-$D$176))+($G$193)</f>
        <v>0.5</v>
      </c>
      <c r="E406" s="91">
        <f>($D$194*($B406-$D$176)^3)+($E$194*($B406-$D$176)^2)+($F$194*($B406-$D$176))+($G$194)</f>
        <v>10.42440593951968</v>
      </c>
      <c r="F406" s="91">
        <f>($D$195*($B406-$D$176)^3)+($E$195*($B406-$D$176)^2)+($F$195*($B406-$D$176))+($G$195)</f>
        <v>8.6643862302620587</v>
      </c>
      <c r="G406" s="91">
        <f>($D$196*($B406-$D$176)^3)+($E$196*($B406-$D$176)^2)+($F$196*($B406-$D$176))+($G$196)</f>
        <v>32.510002860293277</v>
      </c>
      <c r="H406" s="91">
        <f>($D$197*($B406-$D$176)^3)+($E$197*($B406-$D$176)^2)+($F$197*($B406-$D$176))+($G$197)</f>
        <v>216.61380781746578</v>
      </c>
      <c r="I406" s="125">
        <v>5</v>
      </c>
    </row>
    <row r="407" spans="2:9" x14ac:dyDescent="0.25">
      <c r="B407" s="70">
        <v>200</v>
      </c>
      <c r="C407" s="122">
        <f t="shared" ref="C407:C447" si="32">($D$192*($B407-$D$176)^3)+($E$192*($B407-$D$176)^2)+($F$192*($B407-$D$176))+($G$192)</f>
        <v>2.5232242152830442</v>
      </c>
      <c r="D407" s="91">
        <f t="shared" ref="D407:D447" si="33">($D$193*($B407-$D$176)^3)+($E$193*($B407-$D$176)^2)+($F$193*($B407-$D$176))+($G$193)</f>
        <v>0.5</v>
      </c>
      <c r="E407" s="91">
        <f t="shared" ref="E407:E447" si="34">($D$194*($B407-$D$176)^3)+($E$194*($B407-$D$176)^2)+($F$194*($B407-$D$176))+($G$194)</f>
        <v>10.29691230825882</v>
      </c>
      <c r="F407" s="91">
        <f t="shared" ref="F407:F447" si="35">($D$195*($B407-$D$176)^3)+($E$195*($B407-$D$176)^2)+($F$195*($B407-$D$176))+($G$195)</f>
        <v>8.5681428232009118</v>
      </c>
      <c r="G407" s="91">
        <f t="shared" ref="G407:G447" si="36">($D$196*($B407-$D$176)^3)+($E$196*($B407-$D$176)^2)+($F$196*($B407-$D$176))+($G$196)</f>
        <v>32.079092169794357</v>
      </c>
      <c r="H407" s="91">
        <f t="shared" ref="H407:H447" si="37">($D$197*($B407-$D$176)^3)+($E$197*($B407-$D$176)^2)+($F$197*($B407-$D$176))+($G$197)</f>
        <v>207.33317564618977</v>
      </c>
      <c r="I407" s="125">
        <v>5</v>
      </c>
    </row>
    <row r="408" spans="2:9" x14ac:dyDescent="0.25">
      <c r="B408" s="70">
        <v>201</v>
      </c>
      <c r="C408" s="122">
        <f t="shared" si="32"/>
        <v>2.5198981751185792</v>
      </c>
      <c r="D408" s="91">
        <f t="shared" si="33"/>
        <v>0.5</v>
      </c>
      <c r="E408" s="91">
        <f t="shared" si="34"/>
        <v>10.162113931157934</v>
      </c>
      <c r="F408" s="91">
        <f t="shared" si="35"/>
        <v>8.4584975791571555</v>
      </c>
      <c r="G408" s="91">
        <f t="shared" si="36"/>
        <v>31.614818870136862</v>
      </c>
      <c r="H408" s="91">
        <f t="shared" si="37"/>
        <v>198.1288781377352</v>
      </c>
      <c r="I408" s="125">
        <v>5</v>
      </c>
    </row>
    <row r="409" spans="2:9" x14ac:dyDescent="0.25">
      <c r="B409" s="70">
        <v>202</v>
      </c>
      <c r="C409" s="122">
        <f t="shared" si="32"/>
        <v>2.5172422818660847</v>
      </c>
      <c r="D409" s="91">
        <f t="shared" si="33"/>
        <v>0.5</v>
      </c>
      <c r="E409" s="91">
        <f t="shared" si="34"/>
        <v>10.020330067116909</v>
      </c>
      <c r="F409" s="91">
        <f t="shared" si="35"/>
        <v>8.3364621512003421</v>
      </c>
      <c r="G409" s="91">
        <f t="shared" si="36"/>
        <v>31.118925394958644</v>
      </c>
      <c r="H409" s="91">
        <f t="shared" si="37"/>
        <v>189.01192210153454</v>
      </c>
      <c r="I409" s="125">
        <v>5</v>
      </c>
    </row>
    <row r="410" spans="2:9" x14ac:dyDescent="0.25">
      <c r="B410" s="70">
        <v>203</v>
      </c>
      <c r="C410" s="122">
        <f t="shared" si="32"/>
        <v>2.515108934747297</v>
      </c>
      <c r="D410" s="91">
        <f t="shared" si="33"/>
        <v>0.5</v>
      </c>
      <c r="E410" s="91">
        <f t="shared" si="34"/>
        <v>9.8718799750356343</v>
      </c>
      <c r="F410" s="91">
        <f t="shared" si="35"/>
        <v>8.203048192400022</v>
      </c>
      <c r="G410" s="91">
        <f t="shared" si="36"/>
        <v>30.593154177897553</v>
      </c>
      <c r="H410" s="91">
        <f t="shared" si="37"/>
        <v>179.99331434702032</v>
      </c>
      <c r="I410" s="125">
        <v>5</v>
      </c>
    </row>
    <row r="411" spans="2:9" x14ac:dyDescent="0.25">
      <c r="B411" s="129">
        <v>204</v>
      </c>
      <c r="C411" s="122">
        <f t="shared" si="32"/>
        <v>2.5133505329839503</v>
      </c>
      <c r="D411" s="91">
        <f t="shared" si="33"/>
        <v>0.5</v>
      </c>
      <c r="E411" s="91">
        <f t="shared" si="34"/>
        <v>9.7170829138140018</v>
      </c>
      <c r="F411" s="91">
        <f t="shared" si="35"/>
        <v>8.0592673558257459</v>
      </c>
      <c r="G411" s="91">
        <f t="shared" si="36"/>
        <v>30.039247652591428</v>
      </c>
      <c r="H411" s="91">
        <f t="shared" si="37"/>
        <v>171.08406168362501</v>
      </c>
      <c r="I411" s="125">
        <v>5</v>
      </c>
    </row>
    <row r="412" spans="2:9" x14ac:dyDescent="0.25">
      <c r="B412" s="70">
        <v>205</v>
      </c>
      <c r="C412" s="122">
        <f t="shared" si="32"/>
        <v>2.5118194757977803</v>
      </c>
      <c r="D412" s="91">
        <f t="shared" si="33"/>
        <v>0.5</v>
      </c>
      <c r="E412" s="91">
        <f t="shared" si="34"/>
        <v>9.5562581423519006</v>
      </c>
      <c r="F412" s="91">
        <f t="shared" si="35"/>
        <v>7.9061312945470634</v>
      </c>
      <c r="G412" s="91">
        <f t="shared" si="36"/>
        <v>29.45894825267812</v>
      </c>
      <c r="H412" s="91">
        <f t="shared" si="37"/>
        <v>162.2951709207812</v>
      </c>
      <c r="I412" s="125">
        <v>5</v>
      </c>
    </row>
    <row r="413" spans="2:9" x14ac:dyDescent="0.25">
      <c r="B413" s="70">
        <v>206</v>
      </c>
      <c r="C413" s="122">
        <f t="shared" si="32"/>
        <v>2.5103681624105216</v>
      </c>
      <c r="D413" s="91">
        <f t="shared" si="33"/>
        <v>0.5</v>
      </c>
      <c r="E413" s="91">
        <f t="shared" si="34"/>
        <v>9.3897249195492218</v>
      </c>
      <c r="F413" s="91">
        <f t="shared" si="35"/>
        <v>7.7446516616335277</v>
      </c>
      <c r="G413" s="91">
        <f t="shared" si="36"/>
        <v>28.853998411795473</v>
      </c>
      <c r="H413" s="91">
        <f t="shared" si="37"/>
        <v>153.63764886792134</v>
      </c>
      <c r="I413" s="125">
        <v>5</v>
      </c>
    </row>
    <row r="414" spans="2:9" x14ac:dyDescent="0.25">
      <c r="B414" s="70">
        <v>207</v>
      </c>
      <c r="C414" s="122">
        <f t="shared" si="32"/>
        <v>2.5088489920439092</v>
      </c>
      <c r="D414" s="91">
        <f t="shared" si="33"/>
        <v>0.5</v>
      </c>
      <c r="E414" s="91">
        <f t="shared" si="34"/>
        <v>9.2178025043058529</v>
      </c>
      <c r="F414" s="91">
        <f t="shared" si="35"/>
        <v>7.5758401101546866</v>
      </c>
      <c r="G414" s="91">
        <f t="shared" si="36"/>
        <v>28.226140563581332</v>
      </c>
      <c r="H414" s="91">
        <f t="shared" si="37"/>
        <v>145.12250233447796</v>
      </c>
      <c r="I414" s="125">
        <v>5</v>
      </c>
    </row>
    <row r="415" spans="2:9" x14ac:dyDescent="0.25">
      <c r="B415" s="70">
        <v>208</v>
      </c>
      <c r="C415" s="122">
        <f t="shared" si="32"/>
        <v>2.507114363919678</v>
      </c>
      <c r="D415" s="91">
        <f t="shared" si="33"/>
        <v>0.5</v>
      </c>
      <c r="E415" s="91">
        <f t="shared" si="34"/>
        <v>9.0408101555216831</v>
      </c>
      <c r="F415" s="91">
        <f t="shared" si="35"/>
        <v>7.4007082931800925</v>
      </c>
      <c r="G415" s="91">
        <f t="shared" si="36"/>
        <v>27.577117141673543</v>
      </c>
      <c r="H415" s="91">
        <f t="shared" si="37"/>
        <v>136.76073812988358</v>
      </c>
      <c r="I415" s="125">
        <v>5</v>
      </c>
    </row>
    <row r="416" spans="2:9" x14ac:dyDescent="0.25">
      <c r="B416" s="70">
        <v>209</v>
      </c>
      <c r="C416" s="122">
        <f t="shared" si="32"/>
        <v>2.5050166772595635</v>
      </c>
      <c r="D416" s="91">
        <f t="shared" si="33"/>
        <v>0.5</v>
      </c>
      <c r="E416" s="91">
        <f t="shared" si="34"/>
        <v>8.8590671320966052</v>
      </c>
      <c r="F416" s="91">
        <f t="shared" si="35"/>
        <v>7.2202678637792967</v>
      </c>
      <c r="G416" s="91">
        <f t="shared" si="36"/>
        <v>26.908670579709955</v>
      </c>
      <c r="H416" s="91">
        <f t="shared" si="37"/>
        <v>128.56336306357065</v>
      </c>
      <c r="I416" s="125">
        <v>5</v>
      </c>
    </row>
    <row r="417" spans="2:9" x14ac:dyDescent="0.25">
      <c r="B417" s="70">
        <v>210</v>
      </c>
      <c r="C417" s="122">
        <f t="shared" si="32"/>
        <v>2.5024083312853005</v>
      </c>
      <c r="D417" s="91">
        <f t="shared" si="33"/>
        <v>0.5</v>
      </c>
      <c r="E417" s="91">
        <f t="shared" si="34"/>
        <v>8.6728926929305068</v>
      </c>
      <c r="F417" s="91">
        <f t="shared" si="35"/>
        <v>7.0355304750218473</v>
      </c>
      <c r="G417" s="91">
        <f t="shared" si="36"/>
        <v>26.222543311328415</v>
      </c>
      <c r="H417" s="91">
        <f t="shared" si="37"/>
        <v>120.5413839449718</v>
      </c>
      <c r="I417" s="125">
        <v>5</v>
      </c>
    </row>
    <row r="418" spans="2:9" x14ac:dyDescent="0.25">
      <c r="B418" s="70">
        <v>211</v>
      </c>
      <c r="C418" s="122">
        <f t="shared" si="32"/>
        <v>2.4991417252186241</v>
      </c>
      <c r="D418" s="91">
        <f t="shared" si="33"/>
        <v>0.5</v>
      </c>
      <c r="E418" s="91">
        <f t="shared" si="34"/>
        <v>8.4826060969232788</v>
      </c>
      <c r="F418" s="91">
        <f t="shared" si="35"/>
        <v>6.8475077799772972</v>
      </c>
      <c r="G418" s="91">
        <f t="shared" si="36"/>
        <v>25.52047777016676</v>
      </c>
      <c r="H418" s="91">
        <f t="shared" si="37"/>
        <v>112.70580758351943</v>
      </c>
      <c r="I418" s="125">
        <v>5</v>
      </c>
    </row>
    <row r="419" spans="2:9" x14ac:dyDescent="0.25">
      <c r="B419" s="70">
        <v>212</v>
      </c>
      <c r="C419" s="122">
        <f t="shared" si="32"/>
        <v>2.4950692582812688</v>
      </c>
      <c r="D419" s="91">
        <f t="shared" si="33"/>
        <v>0.5</v>
      </c>
      <c r="E419" s="91">
        <f t="shared" si="34"/>
        <v>8.2885266029748106</v>
      </c>
      <c r="F419" s="91">
        <f t="shared" si="35"/>
        <v>6.6572114317151971</v>
      </c>
      <c r="G419" s="91">
        <f t="shared" si="36"/>
        <v>24.804216389862844</v>
      </c>
      <c r="H419" s="91">
        <f t="shared" si="37"/>
        <v>105.06764078864609</v>
      </c>
      <c r="I419" s="125">
        <v>5</v>
      </c>
    </row>
    <row r="420" spans="2:9" x14ac:dyDescent="0.25">
      <c r="B420" s="70">
        <v>213</v>
      </c>
      <c r="C420" s="122">
        <f t="shared" si="32"/>
        <v>2.4900433296949704</v>
      </c>
      <c r="D420" s="91">
        <f t="shared" si="33"/>
        <v>0.5</v>
      </c>
      <c r="E420" s="91">
        <f t="shared" si="34"/>
        <v>8.0909734699849913</v>
      </c>
      <c r="F420" s="91">
        <f t="shared" si="35"/>
        <v>6.4656530833050967</v>
      </c>
      <c r="G420" s="91">
        <f t="shared" si="36"/>
        <v>24.075501604054516</v>
      </c>
      <c r="H420" s="91">
        <f t="shared" si="37"/>
        <v>97.637890369784287</v>
      </c>
      <c r="I420" s="125">
        <v>5</v>
      </c>
    </row>
    <row r="421" spans="2:9" x14ac:dyDescent="0.25">
      <c r="B421" s="70">
        <v>214</v>
      </c>
      <c r="C421" s="122">
        <f t="shared" si="32"/>
        <v>2.4839163386814636</v>
      </c>
      <c r="D421" s="91">
        <f t="shared" si="33"/>
        <v>0.5</v>
      </c>
      <c r="E421" s="91">
        <f t="shared" si="34"/>
        <v>7.890265956853713</v>
      </c>
      <c r="F421" s="91">
        <f t="shared" si="35"/>
        <v>6.2738443878165473</v>
      </c>
      <c r="G421" s="91">
        <f t="shared" si="36"/>
        <v>23.336075846379615</v>
      </c>
      <c r="H421" s="91">
        <f t="shared" si="37"/>
        <v>90.42756313636653</v>
      </c>
      <c r="I421" s="125">
        <v>5</v>
      </c>
    </row>
    <row r="422" spans="2:9" x14ac:dyDescent="0.25">
      <c r="B422" s="70">
        <v>215</v>
      </c>
      <c r="C422" s="122">
        <f t="shared" si="32"/>
        <v>2.4765406844624835</v>
      </c>
      <c r="D422" s="91">
        <f t="shared" si="33"/>
        <v>0.5</v>
      </c>
      <c r="E422" s="91">
        <f t="shared" si="34"/>
        <v>7.6867233224808631</v>
      </c>
      <c r="F422" s="91">
        <f t="shared" si="35"/>
        <v>6.0827969983190986</v>
      </c>
      <c r="G422" s="91">
        <f t="shared" si="36"/>
        <v>22.587681550475985</v>
      </c>
      <c r="H422" s="91">
        <f t="shared" si="37"/>
        <v>83.447665897825317</v>
      </c>
      <c r="I422" s="125">
        <v>5</v>
      </c>
    </row>
    <row r="423" spans="2:9" x14ac:dyDescent="0.25">
      <c r="B423" s="129">
        <v>216</v>
      </c>
      <c r="C423" s="122">
        <f t="shared" si="32"/>
        <v>2.4677687662597649</v>
      </c>
      <c r="D423" s="91">
        <f t="shared" si="33"/>
        <v>0.5</v>
      </c>
      <c r="E423" s="91">
        <f t="shared" si="34"/>
        <v>7.4806648257663317</v>
      </c>
      <c r="F423" s="91">
        <f t="shared" si="35"/>
        <v>5.8935225678823038</v>
      </c>
      <c r="G423" s="91">
        <f t="shared" si="36"/>
        <v>21.832061149981481</v>
      </c>
      <c r="H423" s="91">
        <f t="shared" si="37"/>
        <v>76.709205463593207</v>
      </c>
      <c r="I423" s="125">
        <v>5</v>
      </c>
    </row>
    <row r="424" spans="2:9" x14ac:dyDescent="0.25">
      <c r="B424" s="70">
        <v>217</v>
      </c>
      <c r="C424" s="122">
        <f t="shared" si="32"/>
        <v>2.4574529832950431</v>
      </c>
      <c r="D424" s="91">
        <f t="shared" si="33"/>
        <v>0.5</v>
      </c>
      <c r="E424" s="91">
        <f t="shared" si="34"/>
        <v>7.2724097256100091</v>
      </c>
      <c r="F424" s="91">
        <f t="shared" si="35"/>
        <v>5.7070327495757098</v>
      </c>
      <c r="G424" s="91">
        <f t="shared" si="36"/>
        <v>21.070957078533944</v>
      </c>
      <c r="H424" s="91">
        <f t="shared" si="37"/>
        <v>70.223188643102645</v>
      </c>
      <c r="I424" s="125">
        <v>5</v>
      </c>
    </row>
    <row r="425" spans="2:9" x14ac:dyDescent="0.25">
      <c r="B425" s="70">
        <v>218</v>
      </c>
      <c r="C425" s="122">
        <f t="shared" si="32"/>
        <v>2.4454457347900531</v>
      </c>
      <c r="D425" s="91">
        <f t="shared" si="33"/>
        <v>0.5</v>
      </c>
      <c r="E425" s="91">
        <f t="shared" si="34"/>
        <v>7.0622772809117853</v>
      </c>
      <c r="F425" s="91">
        <f t="shared" si="35"/>
        <v>5.52433919646887</v>
      </c>
      <c r="G425" s="91">
        <f t="shared" si="36"/>
        <v>20.306111769771217</v>
      </c>
      <c r="H425" s="91">
        <f t="shared" si="37"/>
        <v>64.00062224578619</v>
      </c>
      <c r="I425" s="125">
        <v>5</v>
      </c>
    </row>
    <row r="426" spans="2:9" x14ac:dyDescent="0.25">
      <c r="B426" s="70">
        <v>219</v>
      </c>
      <c r="C426" s="122">
        <f t="shared" si="32"/>
        <v>2.4315994199665298</v>
      </c>
      <c r="D426" s="91">
        <f t="shared" si="33"/>
        <v>0.5</v>
      </c>
      <c r="E426" s="91">
        <f t="shared" si="34"/>
        <v>6.8505867505715496</v>
      </c>
      <c r="F426" s="91">
        <f t="shared" si="35"/>
        <v>5.3464535616313347</v>
      </c>
      <c r="G426" s="91">
        <f t="shared" si="36"/>
        <v>19.539267657331152</v>
      </c>
      <c r="H426" s="91">
        <f t="shared" si="37"/>
        <v>58.052513081076341</v>
      </c>
      <c r="I426" s="125">
        <v>5</v>
      </c>
    </row>
    <row r="427" spans="2:9" x14ac:dyDescent="0.25">
      <c r="B427" s="70">
        <v>220</v>
      </c>
      <c r="C427" s="122">
        <f t="shared" si="32"/>
        <v>2.4157664380462083</v>
      </c>
      <c r="D427" s="91">
        <f t="shared" si="33"/>
        <v>0.5</v>
      </c>
      <c r="E427" s="91">
        <f t="shared" si="34"/>
        <v>6.6376573934891923</v>
      </c>
      <c r="F427" s="91">
        <f t="shared" si="35"/>
        <v>5.1743874981326545</v>
      </c>
      <c r="G427" s="91">
        <f t="shared" si="36"/>
        <v>18.772167174851596</v>
      </c>
      <c r="H427" s="91">
        <f t="shared" si="37"/>
        <v>52.389867958405603</v>
      </c>
      <c r="I427" s="125">
        <v>5</v>
      </c>
    </row>
    <row r="428" spans="2:9" x14ac:dyDescent="0.25">
      <c r="B428" s="70">
        <v>221</v>
      </c>
      <c r="C428" s="122">
        <f t="shared" si="32"/>
        <v>2.3977991882508238</v>
      </c>
      <c r="D428" s="91">
        <f t="shared" si="33"/>
        <v>0.5</v>
      </c>
      <c r="E428" s="91">
        <f t="shared" si="34"/>
        <v>6.4238084685646033</v>
      </c>
      <c r="F428" s="91">
        <f t="shared" si="35"/>
        <v>5.0091526590423792</v>
      </c>
      <c r="G428" s="91">
        <f t="shared" si="36"/>
        <v>18.006552755970382</v>
      </c>
      <c r="H428" s="91">
        <f t="shared" si="37"/>
        <v>47.023693687206475</v>
      </c>
      <c r="I428" s="125">
        <v>5</v>
      </c>
    </row>
    <row r="429" spans="2:9" x14ac:dyDescent="0.25">
      <c r="B429" s="70">
        <v>222</v>
      </c>
      <c r="C429" s="122">
        <f t="shared" si="32"/>
        <v>2.377550069802111</v>
      </c>
      <c r="D429" s="91">
        <f t="shared" si="33"/>
        <v>0.5</v>
      </c>
      <c r="E429" s="91">
        <f t="shared" si="34"/>
        <v>6.2093592346976711</v>
      </c>
      <c r="F429" s="91">
        <f t="shared" si="35"/>
        <v>4.8517606974300609</v>
      </c>
      <c r="G429" s="91">
        <f t="shared" si="36"/>
        <v>17.244166834325373</v>
      </c>
      <c r="H429" s="91">
        <f t="shared" si="37"/>
        <v>41.964997076911516</v>
      </c>
      <c r="I429" s="125">
        <v>5</v>
      </c>
    </row>
    <row r="430" spans="2:9" x14ac:dyDescent="0.25">
      <c r="B430" s="70">
        <v>223</v>
      </c>
      <c r="C430" s="122">
        <f t="shared" si="32"/>
        <v>2.3548714819218048</v>
      </c>
      <c r="D430" s="91">
        <f t="shared" si="33"/>
        <v>0.5</v>
      </c>
      <c r="E430" s="91">
        <f t="shared" si="34"/>
        <v>5.9946289507882868</v>
      </c>
      <c r="F430" s="91">
        <f t="shared" si="35"/>
        <v>4.7032232663652493</v>
      </c>
      <c r="G430" s="91">
        <f t="shared" si="36"/>
        <v>16.486751843554405</v>
      </c>
      <c r="H430" s="91">
        <f t="shared" si="37"/>
        <v>37.224784936953142</v>
      </c>
      <c r="I430" s="125">
        <v>5</v>
      </c>
    </row>
    <row r="431" spans="2:9" x14ac:dyDescent="0.25">
      <c r="B431" s="70">
        <v>224</v>
      </c>
      <c r="C431" s="122">
        <f t="shared" si="32"/>
        <v>2.3296158238316407</v>
      </c>
      <c r="D431" s="91">
        <f t="shared" si="33"/>
        <v>0.5</v>
      </c>
      <c r="E431" s="91">
        <f t="shared" si="34"/>
        <v>5.7799368757363396</v>
      </c>
      <c r="F431" s="91">
        <f t="shared" si="35"/>
        <v>4.5645520189174951</v>
      </c>
      <c r="G431" s="91">
        <f t="shared" si="36"/>
        <v>15.736050217295329</v>
      </c>
      <c r="H431" s="91">
        <f t="shared" si="37"/>
        <v>32.814064076763941</v>
      </c>
      <c r="I431" s="125">
        <v>5</v>
      </c>
    </row>
    <row r="432" spans="2:9" x14ac:dyDescent="0.25">
      <c r="B432" s="70">
        <v>225</v>
      </c>
      <c r="C432" s="122">
        <f t="shared" si="32"/>
        <v>2.3016354947533535</v>
      </c>
      <c r="D432" s="91">
        <f t="shared" si="33"/>
        <v>0.5</v>
      </c>
      <c r="E432" s="91">
        <f t="shared" si="34"/>
        <v>5.5656022684417206</v>
      </c>
      <c r="F432" s="91">
        <f t="shared" si="35"/>
        <v>4.4367586081563495</v>
      </c>
      <c r="G432" s="91">
        <f t="shared" si="36"/>
        <v>14.993804389185989</v>
      </c>
      <c r="H432" s="91">
        <f t="shared" si="37"/>
        <v>28.743841305776414</v>
      </c>
      <c r="I432" s="125">
        <v>5</v>
      </c>
    </row>
    <row r="433" spans="2:9" x14ac:dyDescent="0.25">
      <c r="B433" s="70">
        <v>226</v>
      </c>
      <c r="C433" s="122">
        <f t="shared" si="32"/>
        <v>2.2707828939086787</v>
      </c>
      <c r="D433" s="91">
        <f t="shared" si="33"/>
        <v>0.5</v>
      </c>
      <c r="E433" s="91">
        <f t="shared" si="34"/>
        <v>5.3519443878043171</v>
      </c>
      <c r="F433" s="91">
        <f t="shared" si="35"/>
        <v>4.3208546871513631</v>
      </c>
      <c r="G433" s="91">
        <f t="shared" si="36"/>
        <v>14.261756792864226</v>
      </c>
      <c r="H433" s="91">
        <f t="shared" si="37"/>
        <v>25.025123433423062</v>
      </c>
      <c r="I433" s="125">
        <v>5</v>
      </c>
    </row>
    <row r="434" spans="2:9" x14ac:dyDescent="0.25">
      <c r="B434" s="70">
        <v>227</v>
      </c>
      <c r="C434" s="122">
        <f t="shared" si="32"/>
        <v>2.2369104205193504</v>
      </c>
      <c r="D434" s="91">
        <f t="shared" si="33"/>
        <v>0.5</v>
      </c>
      <c r="E434" s="91">
        <f t="shared" si="34"/>
        <v>5.1392824927240213</v>
      </c>
      <c r="F434" s="91">
        <f t="shared" si="35"/>
        <v>4.2178519089720865</v>
      </c>
      <c r="G434" s="91">
        <f t="shared" si="36"/>
        <v>13.541649861967894</v>
      </c>
      <c r="H434" s="91">
        <f t="shared" si="37"/>
        <v>21.66891726913633</v>
      </c>
      <c r="I434" s="125">
        <v>5</v>
      </c>
    </row>
    <row r="435" spans="2:9" x14ac:dyDescent="0.25">
      <c r="B435" s="129">
        <v>228</v>
      </c>
      <c r="C435" s="122">
        <f t="shared" si="32"/>
        <v>2.1998704738071044</v>
      </c>
      <c r="D435" s="91">
        <f t="shared" si="33"/>
        <v>0.5</v>
      </c>
      <c r="E435" s="91">
        <f t="shared" si="34"/>
        <v>4.9279358421007213</v>
      </c>
      <c r="F435" s="91">
        <f t="shared" si="35"/>
        <v>4.1287619266880693</v>
      </c>
      <c r="G435" s="91">
        <f t="shared" si="36"/>
        <v>12.835226030134834</v>
      </c>
      <c r="H435" s="91">
        <f t="shared" si="37"/>
        <v>18.686229622348861</v>
      </c>
      <c r="I435" s="125">
        <v>5</v>
      </c>
    </row>
    <row r="436" spans="2:9" x14ac:dyDescent="0.25">
      <c r="B436" s="70">
        <v>229</v>
      </c>
      <c r="C436" s="122">
        <f t="shared" si="32"/>
        <v>2.1595154529936753</v>
      </c>
      <c r="D436" s="91">
        <f t="shared" si="33"/>
        <v>0.5</v>
      </c>
      <c r="E436" s="91">
        <f t="shared" si="34"/>
        <v>4.7182236948343084</v>
      </c>
      <c r="F436" s="91">
        <f t="shared" si="35"/>
        <v>4.0545963933688647</v>
      </c>
      <c r="G436" s="91">
        <f t="shared" si="36"/>
        <v>12.144227731002893</v>
      </c>
      <c r="H436" s="91">
        <f t="shared" si="37"/>
        <v>16.088067302493016</v>
      </c>
      <c r="I436" s="125">
        <v>5</v>
      </c>
    </row>
    <row r="437" spans="2:9" x14ac:dyDescent="0.25">
      <c r="B437" s="70">
        <v>230</v>
      </c>
      <c r="C437" s="122">
        <f t="shared" si="32"/>
        <v>2.115697757300798</v>
      </c>
      <c r="D437" s="91">
        <f t="shared" si="33"/>
        <v>0.5</v>
      </c>
      <c r="E437" s="91">
        <f t="shared" si="34"/>
        <v>4.5104653098246708</v>
      </c>
      <c r="F437" s="91">
        <f t="shared" si="35"/>
        <v>3.9963669620840214</v>
      </c>
      <c r="G437" s="91">
        <f t="shared" si="36"/>
        <v>11.470397398209926</v>
      </c>
      <c r="H437" s="91">
        <f t="shared" si="37"/>
        <v>13.885437119001494</v>
      </c>
      <c r="I437" s="125">
        <v>5</v>
      </c>
    </row>
    <row r="438" spans="2:9" x14ac:dyDescent="0.25">
      <c r="B438" s="70">
        <v>231</v>
      </c>
      <c r="C438" s="122">
        <f t="shared" si="32"/>
        <v>2.0682697859502084</v>
      </c>
      <c r="D438" s="91">
        <f t="shared" si="33"/>
        <v>0.5</v>
      </c>
      <c r="E438" s="91">
        <f t="shared" si="34"/>
        <v>4.3049799459717004</v>
      </c>
      <c r="F438" s="91">
        <f t="shared" si="35"/>
        <v>3.9550852859030892</v>
      </c>
      <c r="G438" s="91">
        <f t="shared" si="36"/>
        <v>10.815477465393762</v>
      </c>
      <c r="H438" s="91">
        <f t="shared" si="37"/>
        <v>12.089345881306656</v>
      </c>
      <c r="I438" s="125">
        <v>5</v>
      </c>
    </row>
    <row r="439" spans="2:9" x14ac:dyDescent="0.25">
      <c r="B439" s="70">
        <v>232</v>
      </c>
      <c r="C439" s="122">
        <f t="shared" si="32"/>
        <v>2.0170839381636405</v>
      </c>
      <c r="D439" s="91">
        <f t="shared" si="33"/>
        <v>0.5</v>
      </c>
      <c r="E439" s="91">
        <f t="shared" si="34"/>
        <v>4.102086862175284</v>
      </c>
      <c r="F439" s="91">
        <f t="shared" si="35"/>
        <v>3.931763017895622</v>
      </c>
      <c r="G439" s="91">
        <f t="shared" si="36"/>
        <v>10.181210366192261</v>
      </c>
      <c r="H439" s="91">
        <f t="shared" si="37"/>
        <v>10.710800398841002</v>
      </c>
      <c r="I439" s="125">
        <v>5</v>
      </c>
    </row>
    <row r="440" spans="2:9" x14ac:dyDescent="0.25">
      <c r="B440" s="70">
        <v>233</v>
      </c>
      <c r="C440" s="122">
        <f t="shared" si="32"/>
        <v>1.96199261316283</v>
      </c>
      <c r="D440" s="91">
        <f t="shared" si="33"/>
        <v>0.5</v>
      </c>
      <c r="E440" s="91">
        <f t="shared" si="34"/>
        <v>3.9021053173353142</v>
      </c>
      <c r="F440" s="91">
        <f t="shared" si="35"/>
        <v>3.9274118111311687</v>
      </c>
      <c r="G440" s="91">
        <f t="shared" si="36"/>
        <v>9.5693385342432613</v>
      </c>
      <c r="H440" s="91">
        <f t="shared" si="37"/>
        <v>9.7608074810371477</v>
      </c>
      <c r="I440" s="125">
        <v>5</v>
      </c>
    </row>
    <row r="441" spans="2:9" x14ac:dyDescent="0.25">
      <c r="B441" s="70">
        <v>234</v>
      </c>
      <c r="C441" s="122">
        <f t="shared" si="32"/>
        <v>1.9028482101695119</v>
      </c>
      <c r="D441" s="91">
        <f t="shared" si="33"/>
        <v>0.5</v>
      </c>
      <c r="E441" s="91">
        <f t="shared" si="34"/>
        <v>3.7053545703516795</v>
      </c>
      <c r="F441" s="91">
        <f t="shared" si="35"/>
        <v>3.9430433186792797</v>
      </c>
      <c r="G441" s="91">
        <f t="shared" si="36"/>
        <v>8.9816044031846118</v>
      </c>
      <c r="H441" s="91">
        <f t="shared" si="37"/>
        <v>9.2503739373275096</v>
      </c>
      <c r="I441" s="125">
        <v>5</v>
      </c>
    </row>
    <row r="442" spans="2:9" x14ac:dyDescent="0.25">
      <c r="B442" s="70">
        <v>235</v>
      </c>
      <c r="C442" s="122">
        <f t="shared" si="32"/>
        <v>1.8395031284054209</v>
      </c>
      <c r="D442" s="91">
        <f t="shared" si="33"/>
        <v>0.5</v>
      </c>
      <c r="E442" s="91">
        <f t="shared" si="34"/>
        <v>3.5121538801242682</v>
      </c>
      <c r="F442" s="91">
        <f t="shared" si="35"/>
        <v>3.9796691936095048</v>
      </c>
      <c r="G442" s="91">
        <f t="shared" si="36"/>
        <v>8.4197504066541562</v>
      </c>
      <c r="H442" s="91">
        <f t="shared" si="37"/>
        <v>9.1905065771446743</v>
      </c>
      <c r="I442" s="125">
        <v>5</v>
      </c>
    </row>
    <row r="443" spans="2:9" x14ac:dyDescent="0.25">
      <c r="B443" s="70">
        <v>236</v>
      </c>
      <c r="C443" s="122">
        <f t="shared" si="32"/>
        <v>1.7718097670922921</v>
      </c>
      <c r="D443" s="91">
        <f t="shared" si="33"/>
        <v>0.5</v>
      </c>
      <c r="E443" s="91">
        <f t="shared" si="34"/>
        <v>3.3228225055529741</v>
      </c>
      <c r="F443" s="91">
        <f t="shared" si="35"/>
        <v>4.0383010889913962</v>
      </c>
      <c r="G443" s="91">
        <f t="shared" si="36"/>
        <v>7.8855189782897419</v>
      </c>
      <c r="H443" s="91">
        <f t="shared" si="37"/>
        <v>9.5922122099210583</v>
      </c>
      <c r="I443" s="125">
        <v>5</v>
      </c>
    </row>
    <row r="444" spans="2:9" x14ac:dyDescent="0.25">
      <c r="B444" s="70">
        <v>237</v>
      </c>
      <c r="C444" s="122">
        <f t="shared" si="32"/>
        <v>1.6996205254518606</v>
      </c>
      <c r="D444" s="91">
        <f t="shared" si="33"/>
        <v>0.5</v>
      </c>
      <c r="E444" s="91">
        <f t="shared" si="34"/>
        <v>3.1376797055376837</v>
      </c>
      <c r="F444" s="91">
        <f t="shared" si="35"/>
        <v>4.1199506578945053</v>
      </c>
      <c r="G444" s="91">
        <f t="shared" si="36"/>
        <v>7.3806525517292201</v>
      </c>
      <c r="H444" s="91">
        <f t="shared" si="37"/>
        <v>10.466497645089277</v>
      </c>
      <c r="I444" s="125">
        <v>5</v>
      </c>
    </row>
    <row r="445" spans="2:9" x14ac:dyDescent="0.25">
      <c r="B445" s="70">
        <v>238</v>
      </c>
      <c r="C445" s="122">
        <f t="shared" si="32"/>
        <v>1.6227878027058615</v>
      </c>
      <c r="D445" s="91">
        <f t="shared" si="33"/>
        <v>0.5</v>
      </c>
      <c r="E445" s="91">
        <f t="shared" si="34"/>
        <v>2.9570447389782881</v>
      </c>
      <c r="F445" s="91">
        <f t="shared" si="35"/>
        <v>4.2256295533883801</v>
      </c>
      <c r="G445" s="91">
        <f t="shared" si="36"/>
        <v>6.9068935606104276</v>
      </c>
      <c r="H445" s="91">
        <f t="shared" si="37"/>
        <v>11.824369692081746</v>
      </c>
      <c r="I445" s="125">
        <v>5</v>
      </c>
    </row>
    <row r="446" spans="2:9" x14ac:dyDescent="0.25">
      <c r="B446" s="70">
        <v>239</v>
      </c>
      <c r="C446" s="122">
        <f t="shared" si="32"/>
        <v>1.5411639980760297</v>
      </c>
      <c r="D446" s="91">
        <f t="shared" si="33"/>
        <v>0.5</v>
      </c>
      <c r="E446" s="91">
        <f t="shared" si="34"/>
        <v>2.7812368647746766</v>
      </c>
      <c r="F446" s="91">
        <f t="shared" si="35"/>
        <v>4.3563494285425755</v>
      </c>
      <c r="G446" s="91">
        <f t="shared" si="36"/>
        <v>6.4659844385712191</v>
      </c>
      <c r="H446" s="91">
        <f t="shared" si="37"/>
        <v>13.676835160331052</v>
      </c>
      <c r="I446" s="125">
        <v>5</v>
      </c>
    </row>
    <row r="447" spans="2:9" ht="15.75" thickBot="1" x14ac:dyDescent="0.3">
      <c r="B447" s="71">
        <v>240</v>
      </c>
      <c r="C447" s="123">
        <f t="shared" si="32"/>
        <v>1.4546015107841004</v>
      </c>
      <c r="D447" s="94">
        <f t="shared" si="33"/>
        <v>0.5</v>
      </c>
      <c r="E447" s="94">
        <f t="shared" si="34"/>
        <v>2.6105753418267383</v>
      </c>
      <c r="F447" s="94">
        <f t="shared" si="35"/>
        <v>4.5131219364266384</v>
      </c>
      <c r="G447" s="94">
        <f t="shared" si="36"/>
        <v>6.0596676192494314</v>
      </c>
      <c r="H447" s="94">
        <f t="shared" si="37"/>
        <v>16.034900859269641</v>
      </c>
      <c r="I447" s="126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Crawford</dc:creator>
  <cp:lastModifiedBy>Aidan Crawford</cp:lastModifiedBy>
  <dcterms:created xsi:type="dcterms:W3CDTF">2015-06-05T18:17:20Z</dcterms:created>
  <dcterms:modified xsi:type="dcterms:W3CDTF">2025-12-18T17:44:56Z</dcterms:modified>
</cp:coreProperties>
</file>